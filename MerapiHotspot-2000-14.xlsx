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3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Kerja Praktik\modisss\"/>
    </mc:Choice>
  </mc:AlternateContent>
  <xr:revisionPtr revIDLastSave="0" documentId="13_ncr:1_{E00E0D47-6469-428E-A99E-93C274C50E70}" xr6:coauthVersionLast="47" xr6:coauthVersionMax="47" xr10:uidLastSave="{00000000-0000-0000-0000-000000000000}"/>
  <bookViews>
    <workbookView xWindow="-110" yWindow="-110" windowWidth="19420" windowHeight="10300" activeTab="2" xr2:uid="{00000000-000D-0000-FFFF-FFFF00000000}"/>
  </bookViews>
  <sheets>
    <sheet name="Selected Merapi" sheetId="1" r:id="rId1"/>
    <sheet name="Pixel" sheetId="2" r:id="rId2"/>
    <sheet name="calculation" sheetId="3" r:id="rId3"/>
    <sheet name="2001" sheetId="4" r:id="rId4"/>
    <sheet name="2001b" sheetId="5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G223" i="3" l="1"/>
  <c r="G224" i="3"/>
  <c r="G225" i="3"/>
  <c r="G226" i="3"/>
  <c r="G227" i="3"/>
  <c r="G228" i="3"/>
  <c r="G229" i="3"/>
  <c r="G230" i="3"/>
  <c r="G231" i="3"/>
  <c r="G232" i="3"/>
  <c r="G233" i="3"/>
  <c r="G234" i="3"/>
  <c r="G235" i="3"/>
  <c r="G236" i="3"/>
  <c r="G237" i="3"/>
  <c r="G238" i="3"/>
  <c r="G239" i="3"/>
  <c r="G240" i="3"/>
  <c r="G241" i="3"/>
  <c r="G242" i="3"/>
  <c r="G243" i="3"/>
  <c r="G244" i="3"/>
  <c r="G245" i="3"/>
  <c r="X224" i="3"/>
  <c r="Y224" i="3"/>
  <c r="Z224" i="3"/>
  <c r="AA224" i="3"/>
  <c r="AB224" i="3"/>
  <c r="AC224" i="3"/>
  <c r="X225" i="3"/>
  <c r="Y225" i="3"/>
  <c r="Z225" i="3"/>
  <c r="AA225" i="3"/>
  <c r="AB225" i="3"/>
  <c r="AC225" i="3"/>
  <c r="X226" i="3"/>
  <c r="Y226" i="3"/>
  <c r="Z226" i="3"/>
  <c r="AA226" i="3"/>
  <c r="AB226" i="3"/>
  <c r="AC226" i="3"/>
  <c r="X227" i="3"/>
  <c r="Y227" i="3"/>
  <c r="Z227" i="3"/>
  <c r="AA227" i="3"/>
  <c r="AB227" i="3"/>
  <c r="AC227" i="3"/>
  <c r="X228" i="3"/>
  <c r="Y228" i="3"/>
  <c r="Z228" i="3"/>
  <c r="AA228" i="3"/>
  <c r="AB228" i="3"/>
  <c r="AC228" i="3"/>
  <c r="X229" i="3"/>
  <c r="Y229" i="3"/>
  <c r="Z229" i="3"/>
  <c r="AA229" i="3"/>
  <c r="AB229" i="3"/>
  <c r="AC229" i="3"/>
  <c r="X230" i="3"/>
  <c r="Y230" i="3"/>
  <c r="Z230" i="3"/>
  <c r="AA230" i="3"/>
  <c r="AB230" i="3"/>
  <c r="AC230" i="3"/>
  <c r="X231" i="3"/>
  <c r="Y231" i="3"/>
  <c r="Z231" i="3"/>
  <c r="AA231" i="3"/>
  <c r="AB231" i="3"/>
  <c r="AC231" i="3"/>
  <c r="X232" i="3"/>
  <c r="Y232" i="3"/>
  <c r="Z232" i="3"/>
  <c r="AA232" i="3"/>
  <c r="AB232" i="3"/>
  <c r="AC232" i="3"/>
  <c r="X233" i="3"/>
  <c r="Y233" i="3"/>
  <c r="Z233" i="3"/>
  <c r="AA233" i="3"/>
  <c r="AB233" i="3"/>
  <c r="AC233" i="3"/>
  <c r="X234" i="3"/>
  <c r="Y234" i="3"/>
  <c r="Z234" i="3"/>
  <c r="AA234" i="3"/>
  <c r="AB234" i="3"/>
  <c r="AC234" i="3"/>
  <c r="X235" i="3"/>
  <c r="Y235" i="3"/>
  <c r="Z235" i="3"/>
  <c r="AA235" i="3"/>
  <c r="AB235" i="3"/>
  <c r="AC235" i="3"/>
  <c r="X236" i="3"/>
  <c r="Y236" i="3"/>
  <c r="Z236" i="3"/>
  <c r="AA236" i="3"/>
  <c r="AB236" i="3"/>
  <c r="AC236" i="3"/>
  <c r="X237" i="3"/>
  <c r="Y237" i="3"/>
  <c r="Z237" i="3"/>
  <c r="AA237" i="3"/>
  <c r="AB237" i="3"/>
  <c r="AC237" i="3"/>
  <c r="X238" i="3"/>
  <c r="Y238" i="3"/>
  <c r="Z238" i="3"/>
  <c r="AA238" i="3"/>
  <c r="AB238" i="3"/>
  <c r="AC238" i="3"/>
  <c r="X239" i="3"/>
  <c r="Y239" i="3"/>
  <c r="Z239" i="3"/>
  <c r="AA239" i="3"/>
  <c r="AB239" i="3"/>
  <c r="AC239" i="3"/>
  <c r="X240" i="3"/>
  <c r="Y240" i="3"/>
  <c r="Z240" i="3"/>
  <c r="AA240" i="3"/>
  <c r="AB240" i="3"/>
  <c r="AC240" i="3"/>
  <c r="X241" i="3"/>
  <c r="Y241" i="3"/>
  <c r="Z241" i="3"/>
  <c r="AA241" i="3"/>
  <c r="AB241" i="3"/>
  <c r="AC241" i="3"/>
  <c r="X242" i="3"/>
  <c r="Y242" i="3"/>
  <c r="Z242" i="3"/>
  <c r="AA242" i="3"/>
  <c r="AB242" i="3"/>
  <c r="AC242" i="3"/>
  <c r="X243" i="3"/>
  <c r="Y243" i="3"/>
  <c r="Z243" i="3"/>
  <c r="AA243" i="3"/>
  <c r="AB243" i="3"/>
  <c r="AC243" i="3"/>
  <c r="X244" i="3"/>
  <c r="Y244" i="3"/>
  <c r="Z244" i="3"/>
  <c r="AA244" i="3"/>
  <c r="AB244" i="3"/>
  <c r="AC244" i="3"/>
  <c r="X245" i="3"/>
  <c r="Y245" i="3"/>
  <c r="Z245" i="3"/>
  <c r="AA245" i="3"/>
  <c r="AB245" i="3"/>
  <c r="AC245" i="3"/>
  <c r="W225" i="3"/>
  <c r="W226" i="3"/>
  <c r="W227" i="3"/>
  <c r="W228" i="3"/>
  <c r="W229" i="3"/>
  <c r="W230" i="3"/>
  <c r="W231" i="3"/>
  <c r="W232" i="3"/>
  <c r="W233" i="3"/>
  <c r="W234" i="3"/>
  <c r="W235" i="3"/>
  <c r="W236" i="3"/>
  <c r="W237" i="3"/>
  <c r="W238" i="3"/>
  <c r="W239" i="3"/>
  <c r="W240" i="3"/>
  <c r="W241" i="3"/>
  <c r="W242" i="3"/>
  <c r="W243" i="3"/>
  <c r="W244" i="3"/>
  <c r="W245" i="3"/>
  <c r="W224" i="3"/>
  <c r="O223" i="3"/>
  <c r="P223" i="3"/>
  <c r="Q223" i="3"/>
  <c r="R223" i="3"/>
  <c r="O224" i="3"/>
  <c r="P224" i="3"/>
  <c r="Q224" i="3"/>
  <c r="R224" i="3"/>
  <c r="O225" i="3"/>
  <c r="P225" i="3"/>
  <c r="Q225" i="3"/>
  <c r="R225" i="3"/>
  <c r="O226" i="3"/>
  <c r="P226" i="3"/>
  <c r="Q226" i="3"/>
  <c r="R226" i="3"/>
  <c r="O227" i="3"/>
  <c r="P227" i="3"/>
  <c r="Q227" i="3"/>
  <c r="R227" i="3"/>
  <c r="O228" i="3"/>
  <c r="P228" i="3"/>
  <c r="Q228" i="3"/>
  <c r="R228" i="3"/>
  <c r="O229" i="3"/>
  <c r="P229" i="3"/>
  <c r="Q229" i="3"/>
  <c r="R229" i="3"/>
  <c r="O230" i="3"/>
  <c r="P230" i="3"/>
  <c r="Q230" i="3"/>
  <c r="R230" i="3"/>
  <c r="O231" i="3"/>
  <c r="P231" i="3"/>
  <c r="Q231" i="3"/>
  <c r="R231" i="3"/>
  <c r="O232" i="3"/>
  <c r="P232" i="3"/>
  <c r="Q232" i="3"/>
  <c r="R232" i="3"/>
  <c r="O233" i="3"/>
  <c r="P233" i="3"/>
  <c r="Q233" i="3"/>
  <c r="R233" i="3"/>
  <c r="O234" i="3"/>
  <c r="P234" i="3"/>
  <c r="Q234" i="3"/>
  <c r="R234" i="3"/>
  <c r="O235" i="3"/>
  <c r="P235" i="3"/>
  <c r="Q235" i="3"/>
  <c r="R235" i="3"/>
  <c r="O236" i="3"/>
  <c r="P236" i="3"/>
  <c r="Q236" i="3"/>
  <c r="R236" i="3"/>
  <c r="O237" i="3"/>
  <c r="P237" i="3"/>
  <c r="Q237" i="3"/>
  <c r="R237" i="3"/>
  <c r="O238" i="3"/>
  <c r="P238" i="3"/>
  <c r="Q238" i="3"/>
  <c r="R238" i="3"/>
  <c r="O239" i="3"/>
  <c r="P239" i="3"/>
  <c r="Q239" i="3"/>
  <c r="R239" i="3"/>
  <c r="O240" i="3"/>
  <c r="P240" i="3"/>
  <c r="Q240" i="3"/>
  <c r="R240" i="3"/>
  <c r="O241" i="3"/>
  <c r="P241" i="3"/>
  <c r="Q241" i="3"/>
  <c r="R241" i="3"/>
  <c r="O242" i="3"/>
  <c r="P242" i="3"/>
  <c r="Q242" i="3"/>
  <c r="R242" i="3"/>
  <c r="O243" i="3"/>
  <c r="P243" i="3"/>
  <c r="Q243" i="3"/>
  <c r="R243" i="3"/>
  <c r="O244" i="3"/>
  <c r="P244" i="3"/>
  <c r="Q244" i="3"/>
  <c r="R244" i="3"/>
  <c r="O245" i="3"/>
  <c r="P245" i="3"/>
  <c r="Q245" i="3"/>
  <c r="R245" i="3"/>
  <c r="N225" i="3"/>
  <c r="N226" i="3"/>
  <c r="N227" i="3"/>
  <c r="N228" i="3"/>
  <c r="N229" i="3"/>
  <c r="N230" i="3"/>
  <c r="N231" i="3"/>
  <c r="N232" i="3"/>
  <c r="N233" i="3"/>
  <c r="N234" i="3"/>
  <c r="N235" i="3"/>
  <c r="N236" i="3"/>
  <c r="N237" i="3"/>
  <c r="N238" i="3"/>
  <c r="N239" i="3"/>
  <c r="N240" i="3"/>
  <c r="N241" i="3"/>
  <c r="N242" i="3"/>
  <c r="N243" i="3"/>
  <c r="N244" i="3"/>
  <c r="N245" i="3"/>
  <c r="N224" i="3"/>
  <c r="N109" i="3"/>
  <c r="N3" i="3"/>
  <c r="D223" i="3"/>
  <c r="F223" i="3" s="1"/>
  <c r="D224" i="3"/>
  <c r="F224" i="3" s="1"/>
  <c r="D225" i="3"/>
  <c r="F225" i="3" s="1"/>
  <c r="D226" i="3"/>
  <c r="F226" i="3" s="1"/>
  <c r="D227" i="3"/>
  <c r="F227" i="3" s="1"/>
  <c r="D228" i="3"/>
  <c r="F228" i="3" s="1"/>
  <c r="D229" i="3"/>
  <c r="F229" i="3" s="1"/>
  <c r="D230" i="3"/>
  <c r="F230" i="3" s="1"/>
  <c r="D231" i="3"/>
  <c r="F231" i="3" s="1"/>
  <c r="D232" i="3"/>
  <c r="F232" i="3" s="1"/>
  <c r="D233" i="3"/>
  <c r="F233" i="3" s="1"/>
  <c r="D234" i="3"/>
  <c r="F234" i="3" s="1"/>
  <c r="D235" i="3"/>
  <c r="F235" i="3" s="1"/>
  <c r="D236" i="3"/>
  <c r="F236" i="3" s="1"/>
  <c r="D237" i="3"/>
  <c r="F237" i="3" s="1"/>
  <c r="D238" i="3"/>
  <c r="F238" i="3" s="1"/>
  <c r="D239" i="3"/>
  <c r="F239" i="3" s="1"/>
  <c r="D240" i="3"/>
  <c r="F240" i="3" s="1"/>
  <c r="D241" i="3"/>
  <c r="F241" i="3" s="1"/>
  <c r="D242" i="3"/>
  <c r="F242" i="3" s="1"/>
  <c r="D243" i="3"/>
  <c r="F243" i="3" s="1"/>
  <c r="D244" i="3"/>
  <c r="F244" i="3" s="1"/>
  <c r="D245" i="3"/>
  <c r="F245" i="3" s="1"/>
  <c r="C223" i="3"/>
  <c r="E223" i="3" s="1"/>
  <c r="C224" i="3"/>
  <c r="E224" i="3" s="1"/>
  <c r="C225" i="3"/>
  <c r="E225" i="3" s="1"/>
  <c r="C226" i="3"/>
  <c r="E226" i="3" s="1"/>
  <c r="C227" i="3"/>
  <c r="E227" i="3" s="1"/>
  <c r="C228" i="3"/>
  <c r="E228" i="3" s="1"/>
  <c r="C229" i="3"/>
  <c r="E229" i="3" s="1"/>
  <c r="C230" i="3"/>
  <c r="E230" i="3" s="1"/>
  <c r="C231" i="3"/>
  <c r="E231" i="3" s="1"/>
  <c r="C232" i="3"/>
  <c r="E232" i="3" s="1"/>
  <c r="C233" i="3"/>
  <c r="E233" i="3" s="1"/>
  <c r="C234" i="3"/>
  <c r="E234" i="3" s="1"/>
  <c r="C235" i="3"/>
  <c r="E235" i="3" s="1"/>
  <c r="C236" i="3"/>
  <c r="E236" i="3" s="1"/>
  <c r="C237" i="3"/>
  <c r="E237" i="3" s="1"/>
  <c r="C238" i="3"/>
  <c r="E238" i="3" s="1"/>
  <c r="C239" i="3"/>
  <c r="E239" i="3" s="1"/>
  <c r="C240" i="3"/>
  <c r="E240" i="3" s="1"/>
  <c r="C241" i="3"/>
  <c r="E241" i="3" s="1"/>
  <c r="C242" i="3"/>
  <c r="E242" i="3" s="1"/>
  <c r="C243" i="3"/>
  <c r="E243" i="3" s="1"/>
  <c r="C244" i="3"/>
  <c r="E244" i="3" s="1"/>
  <c r="C245" i="3"/>
  <c r="E245" i="3" s="1"/>
  <c r="F370" i="2"/>
  <c r="F371" i="2"/>
  <c r="F372" i="2"/>
  <c r="F373" i="2"/>
  <c r="F374" i="2"/>
  <c r="F375" i="2"/>
  <c r="F376" i="2"/>
  <c r="F377" i="2"/>
  <c r="F378" i="2"/>
  <c r="F379" i="2"/>
  <c r="F380" i="2"/>
  <c r="F381" i="2"/>
  <c r="F382" i="2"/>
  <c r="F383" i="2"/>
  <c r="F384" i="2"/>
  <c r="F385" i="2"/>
  <c r="F386" i="2"/>
  <c r="F387" i="2"/>
  <c r="F388" i="2"/>
  <c r="F389" i="2"/>
  <c r="F390" i="2"/>
  <c r="F391" i="2"/>
  <c r="F392" i="2"/>
  <c r="F393" i="2"/>
  <c r="F394" i="2"/>
  <c r="F395" i="2"/>
  <c r="F396" i="2"/>
  <c r="F397" i="2"/>
  <c r="F398" i="2"/>
  <c r="E370" i="2"/>
  <c r="E371" i="2"/>
  <c r="E372" i="2"/>
  <c r="E373" i="2"/>
  <c r="E374" i="2"/>
  <c r="E375" i="2"/>
  <c r="E376" i="2"/>
  <c r="E377" i="2"/>
  <c r="E378" i="2"/>
  <c r="E379" i="2"/>
  <c r="E380" i="2"/>
  <c r="E381" i="2"/>
  <c r="E382" i="2"/>
  <c r="E383" i="2"/>
  <c r="E384" i="2"/>
  <c r="E385" i="2"/>
  <c r="E386" i="2"/>
  <c r="E387" i="2"/>
  <c r="E388" i="2"/>
  <c r="E389" i="2"/>
  <c r="E390" i="2"/>
  <c r="E391" i="2"/>
  <c r="E392" i="2"/>
  <c r="E393" i="2"/>
  <c r="E394" i="2"/>
  <c r="E395" i="2"/>
  <c r="E396" i="2"/>
  <c r="E397" i="2"/>
  <c r="E398" i="2"/>
  <c r="E369" i="2"/>
  <c r="D370" i="2"/>
  <c r="D371" i="2"/>
  <c r="D372" i="2"/>
  <c r="D373" i="2"/>
  <c r="D374" i="2"/>
  <c r="D375" i="2"/>
  <c r="D376" i="2"/>
  <c r="D377" i="2"/>
  <c r="D378" i="2"/>
  <c r="D379" i="2"/>
  <c r="D380" i="2"/>
  <c r="D381" i="2"/>
  <c r="D382" i="2"/>
  <c r="D383" i="2"/>
  <c r="D384" i="2"/>
  <c r="D385" i="2"/>
  <c r="D386" i="2"/>
  <c r="D387" i="2"/>
  <c r="D388" i="2"/>
  <c r="D389" i="2"/>
  <c r="D390" i="2"/>
  <c r="D391" i="2"/>
  <c r="D392" i="2"/>
  <c r="D393" i="2"/>
  <c r="D394" i="2"/>
  <c r="D395" i="2"/>
  <c r="D396" i="2"/>
  <c r="D397" i="2"/>
  <c r="D398" i="2"/>
  <c r="C370" i="2"/>
  <c r="C371" i="2"/>
  <c r="C372" i="2"/>
  <c r="C373" i="2"/>
  <c r="C374" i="2"/>
  <c r="C375" i="2"/>
  <c r="C376" i="2"/>
  <c r="C377" i="2"/>
  <c r="C378" i="2"/>
  <c r="C379" i="2"/>
  <c r="C380" i="2"/>
  <c r="C381" i="2"/>
  <c r="C382" i="2"/>
  <c r="C383" i="2"/>
  <c r="C384" i="2"/>
  <c r="C385" i="2"/>
  <c r="C386" i="2"/>
  <c r="C387" i="2"/>
  <c r="C388" i="2"/>
  <c r="C389" i="2"/>
  <c r="C390" i="2"/>
  <c r="C391" i="2"/>
  <c r="C392" i="2"/>
  <c r="C393" i="2"/>
  <c r="C394" i="2"/>
  <c r="C395" i="2"/>
  <c r="C396" i="2"/>
  <c r="C397" i="2"/>
  <c r="C398" i="2"/>
  <c r="H3" i="1"/>
  <c r="H2" i="1"/>
  <c r="H372" i="1"/>
  <c r="H370" i="1"/>
  <c r="H371" i="1"/>
  <c r="H373" i="1"/>
  <c r="H374" i="1"/>
  <c r="H375" i="1"/>
  <c r="H376" i="1"/>
  <c r="H377" i="1"/>
  <c r="H378" i="1"/>
  <c r="H379" i="1"/>
  <c r="H380" i="1"/>
  <c r="H381" i="1"/>
  <c r="H382" i="1"/>
  <c r="H383" i="1"/>
  <c r="H384" i="1"/>
  <c r="H385" i="1"/>
  <c r="H386" i="1"/>
  <c r="H387" i="1"/>
  <c r="H388" i="1"/>
  <c r="H389" i="1"/>
  <c r="H390" i="1"/>
  <c r="H391" i="1"/>
  <c r="H392" i="1"/>
  <c r="H393" i="1"/>
  <c r="H394" i="1"/>
  <c r="H395" i="1"/>
  <c r="H396" i="1"/>
  <c r="H397" i="1"/>
  <c r="H398" i="1"/>
  <c r="G42" i="5"/>
  <c r="F42" i="5"/>
  <c r="D42" i="5"/>
  <c r="C42" i="5"/>
  <c r="D43" i="5"/>
  <c r="E43" i="5"/>
  <c r="F43" i="5"/>
  <c r="G43" i="5"/>
  <c r="H43" i="5"/>
  <c r="C43" i="5"/>
  <c r="G41" i="5"/>
  <c r="F41" i="5"/>
  <c r="C41" i="5"/>
  <c r="D41" i="5"/>
  <c r="G41" i="4"/>
  <c r="F41" i="4"/>
  <c r="D41" i="4"/>
  <c r="C41" i="4"/>
  <c r="AD2" i="4"/>
  <c r="AE2" i="4" s="1"/>
  <c r="AC2" i="3"/>
  <c r="Z2" i="3"/>
  <c r="W39" i="3"/>
  <c r="W38" i="3"/>
  <c r="W37" i="3"/>
  <c r="W36" i="3"/>
  <c r="W35" i="3"/>
  <c r="W34" i="3"/>
  <c r="W33" i="3"/>
  <c r="W32" i="3"/>
  <c r="W31" i="3"/>
  <c r="W30" i="3"/>
  <c r="W29" i="3"/>
  <c r="W28" i="3"/>
  <c r="W27" i="3"/>
  <c r="W26" i="3"/>
  <c r="W25" i="3"/>
  <c r="W24" i="3"/>
  <c r="W23" i="3"/>
  <c r="W22" i="3"/>
  <c r="W21" i="3"/>
  <c r="W20" i="3"/>
  <c r="W19" i="3"/>
  <c r="W18" i="3"/>
  <c r="W17" i="3"/>
  <c r="W16" i="3"/>
  <c r="W15" i="3"/>
  <c r="W14" i="3"/>
  <c r="W13" i="3"/>
  <c r="W12" i="3"/>
  <c r="W11" i="3"/>
  <c r="W10" i="3"/>
  <c r="W9" i="3"/>
  <c r="W8" i="3"/>
  <c r="W7" i="3"/>
  <c r="W6" i="3"/>
  <c r="W5" i="3"/>
  <c r="W4" i="3"/>
  <c r="W3" i="3"/>
  <c r="W16" i="4"/>
  <c r="X16" i="4"/>
  <c r="W17" i="4"/>
  <c r="X17" i="4"/>
  <c r="W18" i="4"/>
  <c r="X18" i="4"/>
  <c r="W19" i="4"/>
  <c r="X19" i="4"/>
  <c r="W20" i="4"/>
  <c r="X20" i="4"/>
  <c r="X4" i="4"/>
  <c r="X5" i="4"/>
  <c r="X6" i="4"/>
  <c r="X7" i="4"/>
  <c r="X8" i="4"/>
  <c r="X9" i="4"/>
  <c r="X10" i="4"/>
  <c r="X11" i="4"/>
  <c r="X12" i="4"/>
  <c r="X13" i="4"/>
  <c r="X14" i="4"/>
  <c r="X15" i="4"/>
  <c r="X3" i="4"/>
  <c r="W4" i="4"/>
  <c r="W5" i="4"/>
  <c r="W6" i="4"/>
  <c r="W7" i="4"/>
  <c r="W8" i="4"/>
  <c r="W9" i="4"/>
  <c r="W10" i="4"/>
  <c r="W11" i="4"/>
  <c r="W12" i="4"/>
  <c r="W13" i="4"/>
  <c r="W14" i="4"/>
  <c r="W15" i="4"/>
  <c r="W3" i="4"/>
  <c r="N4" i="3"/>
  <c r="N5" i="3"/>
  <c r="N6" i="3"/>
  <c r="N7" i="3"/>
  <c r="N8" i="3"/>
  <c r="N9" i="3"/>
  <c r="N10" i="3"/>
  <c r="N11" i="3"/>
  <c r="N12" i="3"/>
  <c r="N13" i="3"/>
  <c r="N14" i="3"/>
  <c r="N15" i="3"/>
  <c r="N16" i="3"/>
  <c r="N17" i="3"/>
  <c r="N18" i="3"/>
  <c r="N19" i="3"/>
  <c r="N20" i="3"/>
  <c r="N21" i="3"/>
  <c r="N22" i="3"/>
  <c r="N23" i="3"/>
  <c r="N24" i="3"/>
  <c r="N25" i="3"/>
  <c r="N26" i="3"/>
  <c r="N27" i="3"/>
  <c r="N28" i="3"/>
  <c r="N29" i="3"/>
  <c r="N30" i="3"/>
  <c r="N31" i="3"/>
  <c r="N32" i="3"/>
  <c r="N33" i="3"/>
  <c r="N34" i="3"/>
  <c r="N35" i="3"/>
  <c r="N36" i="3"/>
  <c r="N37" i="3"/>
  <c r="N38" i="3"/>
  <c r="N39" i="3"/>
  <c r="N131" i="3"/>
  <c r="N108" i="3"/>
  <c r="N110" i="3"/>
  <c r="N111" i="3"/>
  <c r="N112" i="3"/>
  <c r="N113" i="3"/>
  <c r="N114" i="3"/>
  <c r="N115" i="3"/>
  <c r="N116" i="3"/>
  <c r="N117" i="3"/>
  <c r="N118" i="3"/>
  <c r="N119" i="3"/>
  <c r="N120" i="3"/>
  <c r="N121" i="3"/>
  <c r="N122" i="3"/>
  <c r="N123" i="3"/>
  <c r="N124" i="3"/>
  <c r="N125" i="3"/>
  <c r="N126" i="3"/>
  <c r="N127" i="3"/>
  <c r="N128" i="3"/>
  <c r="N129" i="3"/>
  <c r="N130" i="3"/>
  <c r="N132" i="3"/>
  <c r="N133" i="3"/>
  <c r="N134" i="3"/>
  <c r="N135" i="3"/>
  <c r="N136" i="3"/>
  <c r="N137" i="3"/>
  <c r="N138" i="3"/>
  <c r="N139" i="3"/>
  <c r="N140" i="3"/>
  <c r="N141" i="3"/>
  <c r="N142" i="3"/>
  <c r="N143" i="3"/>
  <c r="N144" i="3"/>
  <c r="N107" i="3"/>
  <c r="H223" i="3" l="1"/>
  <c r="H224" i="3" s="1"/>
  <c r="H225" i="3" s="1"/>
  <c r="H226" i="3" s="1"/>
  <c r="H227" i="3" s="1"/>
  <c r="H228" i="3" s="1"/>
  <c r="H229" i="3" s="1"/>
  <c r="H230" i="3" s="1"/>
  <c r="H231" i="3" s="1"/>
  <c r="H232" i="3" s="1"/>
  <c r="H233" i="3" s="1"/>
  <c r="H234" i="3" s="1"/>
  <c r="H235" i="3" s="1"/>
  <c r="H236" i="3" s="1"/>
  <c r="H237" i="3" s="1"/>
  <c r="H238" i="3" s="1"/>
  <c r="H239" i="3" s="1"/>
  <c r="H240" i="3" s="1"/>
  <c r="H241" i="3" s="1"/>
  <c r="H242" i="3" s="1"/>
  <c r="H243" i="3" s="1"/>
  <c r="H244" i="3" s="1"/>
  <c r="H245" i="3" s="1"/>
  <c r="K223" i="3"/>
  <c r="K224" i="3" s="1"/>
  <c r="K225" i="3" s="1"/>
  <c r="K226" i="3" s="1"/>
  <c r="K227" i="3" s="1"/>
  <c r="K228" i="3" s="1"/>
  <c r="K229" i="3" s="1"/>
  <c r="K230" i="3" s="1"/>
  <c r="K231" i="3" s="1"/>
  <c r="K232" i="3" s="1"/>
  <c r="K233" i="3" s="1"/>
  <c r="K234" i="3" s="1"/>
  <c r="K235" i="3" s="1"/>
  <c r="K236" i="3" s="1"/>
  <c r="K237" i="3" s="1"/>
  <c r="K238" i="3" s="1"/>
  <c r="K239" i="3" s="1"/>
  <c r="K240" i="3" s="1"/>
  <c r="K241" i="3" s="1"/>
  <c r="K242" i="3" s="1"/>
  <c r="K243" i="3" s="1"/>
  <c r="K244" i="3" s="1"/>
  <c r="K245" i="3" s="1"/>
  <c r="B251" i="3"/>
  <c r="B250" i="3"/>
  <c r="B249" i="3"/>
  <c r="C4" i="3"/>
  <c r="D4" i="3"/>
  <c r="C5" i="3"/>
  <c r="D5" i="3"/>
  <c r="C6" i="3"/>
  <c r="D6" i="3"/>
  <c r="C7" i="3"/>
  <c r="D7" i="3"/>
  <c r="F7" i="3" s="1"/>
  <c r="C8" i="3"/>
  <c r="D8" i="3"/>
  <c r="F8" i="3" s="1"/>
  <c r="C9" i="3"/>
  <c r="D9" i="3"/>
  <c r="C10" i="3"/>
  <c r="D10" i="3"/>
  <c r="C11" i="3"/>
  <c r="D11" i="3"/>
  <c r="E11" i="3"/>
  <c r="F11" i="3"/>
  <c r="C12" i="3"/>
  <c r="D12" i="3"/>
  <c r="F12" i="3" s="1"/>
  <c r="C13" i="3"/>
  <c r="D13" i="3"/>
  <c r="F13" i="3" s="1"/>
  <c r="C14" i="3"/>
  <c r="D14" i="3"/>
  <c r="F14" i="3" s="1"/>
  <c r="C15" i="3"/>
  <c r="E15" i="3" s="1"/>
  <c r="D15" i="3"/>
  <c r="F15" i="3" s="1"/>
  <c r="C16" i="3"/>
  <c r="D16" i="3"/>
  <c r="F16" i="3" s="1"/>
  <c r="C17" i="3"/>
  <c r="D17" i="3"/>
  <c r="F17" i="3" s="1"/>
  <c r="C18" i="3"/>
  <c r="D18" i="3"/>
  <c r="F18" i="3" s="1"/>
  <c r="C19" i="3"/>
  <c r="D19" i="3"/>
  <c r="F19" i="3" s="1"/>
  <c r="E19" i="3"/>
  <c r="C20" i="3"/>
  <c r="D20" i="3"/>
  <c r="F20" i="3"/>
  <c r="C21" i="3"/>
  <c r="D21" i="3"/>
  <c r="F21" i="3" s="1"/>
  <c r="C22" i="3"/>
  <c r="D22" i="3"/>
  <c r="F22" i="3" s="1"/>
  <c r="C23" i="3"/>
  <c r="D23" i="3"/>
  <c r="F23" i="3" s="1"/>
  <c r="E23" i="3"/>
  <c r="C24" i="3"/>
  <c r="D24" i="3"/>
  <c r="F24" i="3" s="1"/>
  <c r="C25" i="3"/>
  <c r="D25" i="3"/>
  <c r="F25" i="3" s="1"/>
  <c r="E25" i="3"/>
  <c r="C26" i="3"/>
  <c r="D26" i="3"/>
  <c r="F26" i="3"/>
  <c r="C27" i="3"/>
  <c r="D27" i="3"/>
  <c r="F27" i="3" s="1"/>
  <c r="C28" i="3"/>
  <c r="D28" i="3"/>
  <c r="F28" i="3" s="1"/>
  <c r="C29" i="3"/>
  <c r="D29" i="3"/>
  <c r="F29" i="3" s="1"/>
  <c r="C30" i="3"/>
  <c r="D30" i="3"/>
  <c r="F30" i="3" s="1"/>
  <c r="C31" i="3"/>
  <c r="D31" i="3"/>
  <c r="F31" i="3" s="1"/>
  <c r="C32" i="3"/>
  <c r="D32" i="3"/>
  <c r="F32" i="3" s="1"/>
  <c r="C33" i="3"/>
  <c r="D33" i="3"/>
  <c r="F33" i="3" s="1"/>
  <c r="E33" i="3"/>
  <c r="C34" i="3"/>
  <c r="D34" i="3"/>
  <c r="F34" i="3"/>
  <c r="C35" i="3"/>
  <c r="D35" i="3"/>
  <c r="F35" i="3" s="1"/>
  <c r="C36" i="3"/>
  <c r="D36" i="3"/>
  <c r="F36" i="3" s="1"/>
  <c r="C37" i="3"/>
  <c r="D37" i="3"/>
  <c r="F37" i="3" s="1"/>
  <c r="C38" i="3"/>
  <c r="D38" i="3"/>
  <c r="F38" i="3" s="1"/>
  <c r="C39" i="3"/>
  <c r="D39" i="3"/>
  <c r="F39" i="3" s="1"/>
  <c r="C40" i="3"/>
  <c r="E40" i="3" s="1"/>
  <c r="D40" i="3"/>
  <c r="F40" i="3" s="1"/>
  <c r="C41" i="3"/>
  <c r="E41" i="3" s="1"/>
  <c r="D41" i="3"/>
  <c r="F41" i="3" s="1"/>
  <c r="C42" i="3"/>
  <c r="E42" i="3" s="1"/>
  <c r="D42" i="3"/>
  <c r="F42" i="3" s="1"/>
  <c r="C43" i="3"/>
  <c r="E43" i="3" s="1"/>
  <c r="D43" i="3"/>
  <c r="F43" i="3" s="1"/>
  <c r="C44" i="3"/>
  <c r="E44" i="3" s="1"/>
  <c r="D44" i="3"/>
  <c r="F44" i="3" s="1"/>
  <c r="C45" i="3"/>
  <c r="E45" i="3" s="1"/>
  <c r="D45" i="3"/>
  <c r="F45" i="3" s="1"/>
  <c r="C46" i="3"/>
  <c r="E46" i="3" s="1"/>
  <c r="D46" i="3"/>
  <c r="F46" i="3" s="1"/>
  <c r="C47" i="3"/>
  <c r="E47" i="3" s="1"/>
  <c r="D47" i="3"/>
  <c r="F47" i="3" s="1"/>
  <c r="C48" i="3"/>
  <c r="E48" i="3" s="1"/>
  <c r="D48" i="3"/>
  <c r="F48" i="3" s="1"/>
  <c r="C49" i="3"/>
  <c r="E49" i="3" s="1"/>
  <c r="D49" i="3"/>
  <c r="F49" i="3" s="1"/>
  <c r="C50" i="3"/>
  <c r="E50" i="3" s="1"/>
  <c r="D50" i="3"/>
  <c r="F50" i="3" s="1"/>
  <c r="C51" i="3"/>
  <c r="D51" i="3"/>
  <c r="F51" i="3" s="1"/>
  <c r="E51" i="3"/>
  <c r="C52" i="3"/>
  <c r="E52" i="3" s="1"/>
  <c r="D52" i="3"/>
  <c r="F52" i="3"/>
  <c r="C53" i="3"/>
  <c r="E53" i="3" s="1"/>
  <c r="D53" i="3"/>
  <c r="F53" i="3" s="1"/>
  <c r="C54" i="3"/>
  <c r="E54" i="3" s="1"/>
  <c r="D54" i="3"/>
  <c r="F54" i="3" s="1"/>
  <c r="C55" i="3"/>
  <c r="D55" i="3"/>
  <c r="F55" i="3" s="1"/>
  <c r="E55" i="3"/>
  <c r="C56" i="3"/>
  <c r="E56" i="3" s="1"/>
  <c r="D56" i="3"/>
  <c r="F56" i="3" s="1"/>
  <c r="C57" i="3"/>
  <c r="D57" i="3"/>
  <c r="F57" i="3" s="1"/>
  <c r="E57" i="3"/>
  <c r="C58" i="3"/>
  <c r="E58" i="3" s="1"/>
  <c r="D58" i="3"/>
  <c r="F58" i="3" s="1"/>
  <c r="C59" i="3"/>
  <c r="E59" i="3" s="1"/>
  <c r="D59" i="3"/>
  <c r="F59" i="3" s="1"/>
  <c r="C60" i="3"/>
  <c r="E60" i="3" s="1"/>
  <c r="D60" i="3"/>
  <c r="F60" i="3" s="1"/>
  <c r="C61" i="3"/>
  <c r="E61" i="3" s="1"/>
  <c r="D61" i="3"/>
  <c r="F61" i="3" s="1"/>
  <c r="C62" i="3"/>
  <c r="E62" i="3" s="1"/>
  <c r="D62" i="3"/>
  <c r="F62" i="3" s="1"/>
  <c r="C63" i="3"/>
  <c r="E63" i="3" s="1"/>
  <c r="D63" i="3"/>
  <c r="F63" i="3"/>
  <c r="C64" i="3"/>
  <c r="E64" i="3" s="1"/>
  <c r="D64" i="3"/>
  <c r="F64" i="3" s="1"/>
  <c r="C65" i="3"/>
  <c r="D65" i="3"/>
  <c r="F65" i="3" s="1"/>
  <c r="E65" i="3"/>
  <c r="C66" i="3"/>
  <c r="E66" i="3" s="1"/>
  <c r="D66" i="3"/>
  <c r="F66" i="3" s="1"/>
  <c r="C67" i="3"/>
  <c r="E67" i="3" s="1"/>
  <c r="D67" i="3"/>
  <c r="F67" i="3" s="1"/>
  <c r="C68" i="3"/>
  <c r="E68" i="3" s="1"/>
  <c r="D68" i="3"/>
  <c r="F68" i="3" s="1"/>
  <c r="C69" i="3"/>
  <c r="E69" i="3" s="1"/>
  <c r="D69" i="3"/>
  <c r="F69" i="3" s="1"/>
  <c r="C70" i="3"/>
  <c r="E70" i="3" s="1"/>
  <c r="D70" i="3"/>
  <c r="F70" i="3" s="1"/>
  <c r="C71" i="3"/>
  <c r="E71" i="3" s="1"/>
  <c r="D71" i="3"/>
  <c r="F71" i="3"/>
  <c r="C72" i="3"/>
  <c r="E72" i="3" s="1"/>
  <c r="D72" i="3"/>
  <c r="F72" i="3" s="1"/>
  <c r="C73" i="3"/>
  <c r="D73" i="3"/>
  <c r="F73" i="3" s="1"/>
  <c r="E73" i="3"/>
  <c r="C74" i="3"/>
  <c r="E74" i="3" s="1"/>
  <c r="D74" i="3"/>
  <c r="F74" i="3" s="1"/>
  <c r="C75" i="3"/>
  <c r="E75" i="3" s="1"/>
  <c r="D75" i="3"/>
  <c r="F75" i="3" s="1"/>
  <c r="C76" i="3"/>
  <c r="E76" i="3" s="1"/>
  <c r="D76" i="3"/>
  <c r="F76" i="3" s="1"/>
  <c r="C77" i="3"/>
  <c r="E77" i="3" s="1"/>
  <c r="D77" i="3"/>
  <c r="F77" i="3" s="1"/>
  <c r="C78" i="3"/>
  <c r="E78" i="3" s="1"/>
  <c r="D78" i="3"/>
  <c r="F78" i="3" s="1"/>
  <c r="C79" i="3"/>
  <c r="E79" i="3" s="1"/>
  <c r="D79" i="3"/>
  <c r="F79" i="3"/>
  <c r="C80" i="3"/>
  <c r="E80" i="3" s="1"/>
  <c r="D80" i="3"/>
  <c r="F80" i="3" s="1"/>
  <c r="C81" i="3"/>
  <c r="D81" i="3"/>
  <c r="F81" i="3" s="1"/>
  <c r="E81" i="3"/>
  <c r="C82" i="3"/>
  <c r="E82" i="3" s="1"/>
  <c r="D82" i="3"/>
  <c r="F82" i="3" s="1"/>
  <c r="C83" i="3"/>
  <c r="E83" i="3" s="1"/>
  <c r="D83" i="3"/>
  <c r="F83" i="3" s="1"/>
  <c r="C84" i="3"/>
  <c r="E84" i="3" s="1"/>
  <c r="D84" i="3"/>
  <c r="F84" i="3" s="1"/>
  <c r="C85" i="3"/>
  <c r="E85" i="3" s="1"/>
  <c r="D85" i="3"/>
  <c r="F85" i="3" s="1"/>
  <c r="C86" i="3"/>
  <c r="E86" i="3" s="1"/>
  <c r="D86" i="3"/>
  <c r="F86" i="3" s="1"/>
  <c r="C87" i="3"/>
  <c r="E87" i="3" s="1"/>
  <c r="D87" i="3"/>
  <c r="F87" i="3"/>
  <c r="C88" i="3"/>
  <c r="E88" i="3" s="1"/>
  <c r="D88" i="3"/>
  <c r="F88" i="3" s="1"/>
  <c r="C89" i="3"/>
  <c r="D89" i="3"/>
  <c r="F89" i="3" s="1"/>
  <c r="E89" i="3"/>
  <c r="C90" i="3"/>
  <c r="E90" i="3" s="1"/>
  <c r="D90" i="3"/>
  <c r="F90" i="3" s="1"/>
  <c r="C91" i="3"/>
  <c r="E91" i="3" s="1"/>
  <c r="D91" i="3"/>
  <c r="F91" i="3" s="1"/>
  <c r="C92" i="3"/>
  <c r="E92" i="3" s="1"/>
  <c r="D92" i="3"/>
  <c r="F92" i="3" s="1"/>
  <c r="C93" i="3"/>
  <c r="E93" i="3" s="1"/>
  <c r="D93" i="3"/>
  <c r="F93" i="3" s="1"/>
  <c r="C94" i="3"/>
  <c r="E94" i="3" s="1"/>
  <c r="D94" i="3"/>
  <c r="F94" i="3" s="1"/>
  <c r="C95" i="3"/>
  <c r="E95" i="3" s="1"/>
  <c r="D95" i="3"/>
  <c r="C96" i="3"/>
  <c r="E96" i="3" s="1"/>
  <c r="D96" i="3"/>
  <c r="F96" i="3" s="1"/>
  <c r="C97" i="3"/>
  <c r="E97" i="3" s="1"/>
  <c r="D97" i="3"/>
  <c r="F97" i="3" s="1"/>
  <c r="C98" i="3"/>
  <c r="E98" i="3" s="1"/>
  <c r="D98" i="3"/>
  <c r="C99" i="3"/>
  <c r="E99" i="3" s="1"/>
  <c r="D99" i="3"/>
  <c r="F99" i="3" s="1"/>
  <c r="C100" i="3"/>
  <c r="E100" i="3" s="1"/>
  <c r="D100" i="3"/>
  <c r="F100" i="3"/>
  <c r="C101" i="3"/>
  <c r="E101" i="3" s="1"/>
  <c r="D101" i="3"/>
  <c r="F101" i="3" s="1"/>
  <c r="C102" i="3"/>
  <c r="E102" i="3" s="1"/>
  <c r="D102" i="3"/>
  <c r="F102" i="3" s="1"/>
  <c r="C103" i="3"/>
  <c r="E103" i="3" s="1"/>
  <c r="D103" i="3"/>
  <c r="C104" i="3"/>
  <c r="E104" i="3" s="1"/>
  <c r="D104" i="3"/>
  <c r="F104" i="3" s="1"/>
  <c r="C105" i="3"/>
  <c r="E105" i="3" s="1"/>
  <c r="D105" i="3"/>
  <c r="F105" i="3" s="1"/>
  <c r="C106" i="3"/>
  <c r="D106" i="3"/>
  <c r="C107" i="3"/>
  <c r="D107" i="3"/>
  <c r="F107" i="3" s="1"/>
  <c r="C108" i="3"/>
  <c r="D108" i="3"/>
  <c r="F108" i="3"/>
  <c r="C109" i="3"/>
  <c r="E109" i="3" s="1"/>
  <c r="D109" i="3"/>
  <c r="F109" i="3" s="1"/>
  <c r="C110" i="3"/>
  <c r="D110" i="3"/>
  <c r="F110" i="3" s="1"/>
  <c r="C111" i="3"/>
  <c r="E111" i="3" s="1"/>
  <c r="D111" i="3"/>
  <c r="C112" i="3"/>
  <c r="D112" i="3"/>
  <c r="F112" i="3" s="1"/>
  <c r="C113" i="3"/>
  <c r="E113" i="3" s="1"/>
  <c r="D113" i="3"/>
  <c r="F113" i="3" s="1"/>
  <c r="C114" i="3"/>
  <c r="D114" i="3"/>
  <c r="F114" i="3" s="1"/>
  <c r="C115" i="3"/>
  <c r="D115" i="3"/>
  <c r="F115" i="3" s="1"/>
  <c r="E115" i="3"/>
  <c r="C116" i="3"/>
  <c r="D116" i="3"/>
  <c r="F116" i="3" s="1"/>
  <c r="C117" i="3"/>
  <c r="E117" i="3" s="1"/>
  <c r="D117" i="3"/>
  <c r="F117" i="3" s="1"/>
  <c r="C118" i="3"/>
  <c r="D118" i="3"/>
  <c r="F118" i="3" s="1"/>
  <c r="C119" i="3"/>
  <c r="E119" i="3" s="1"/>
  <c r="D119" i="3"/>
  <c r="F119" i="3"/>
  <c r="C120" i="3"/>
  <c r="D120" i="3"/>
  <c r="F120" i="3" s="1"/>
  <c r="C121" i="3"/>
  <c r="E121" i="3" s="1"/>
  <c r="D121" i="3"/>
  <c r="F121" i="3" s="1"/>
  <c r="C122" i="3"/>
  <c r="D122" i="3"/>
  <c r="F122" i="3" s="1"/>
  <c r="C123" i="3"/>
  <c r="D123" i="3"/>
  <c r="F123" i="3" s="1"/>
  <c r="E123" i="3"/>
  <c r="C124" i="3"/>
  <c r="D124" i="3"/>
  <c r="F124" i="3" s="1"/>
  <c r="C125" i="3"/>
  <c r="E125" i="3" s="1"/>
  <c r="D125" i="3"/>
  <c r="F125" i="3" s="1"/>
  <c r="C126" i="3"/>
  <c r="D126" i="3"/>
  <c r="F126" i="3" s="1"/>
  <c r="C127" i="3"/>
  <c r="E127" i="3" s="1"/>
  <c r="D127" i="3"/>
  <c r="F127" i="3"/>
  <c r="C128" i="3"/>
  <c r="D128" i="3"/>
  <c r="F128" i="3" s="1"/>
  <c r="C129" i="3"/>
  <c r="E129" i="3" s="1"/>
  <c r="D129" i="3"/>
  <c r="F129" i="3" s="1"/>
  <c r="C130" i="3"/>
  <c r="D130" i="3"/>
  <c r="F130" i="3" s="1"/>
  <c r="C131" i="3"/>
  <c r="D131" i="3"/>
  <c r="F131" i="3" s="1"/>
  <c r="E131" i="3"/>
  <c r="C132" i="3"/>
  <c r="D132" i="3"/>
  <c r="F132" i="3" s="1"/>
  <c r="C133" i="3"/>
  <c r="D133" i="3"/>
  <c r="F133" i="3" s="1"/>
  <c r="C134" i="3"/>
  <c r="D134" i="3"/>
  <c r="F134" i="3" s="1"/>
  <c r="C135" i="3"/>
  <c r="D135" i="3"/>
  <c r="F135" i="3" s="1"/>
  <c r="E135" i="3"/>
  <c r="C136" i="3"/>
  <c r="D136" i="3"/>
  <c r="F136" i="3" s="1"/>
  <c r="C137" i="3"/>
  <c r="D137" i="3"/>
  <c r="F137" i="3" s="1"/>
  <c r="C138" i="3"/>
  <c r="D138" i="3"/>
  <c r="F138" i="3" s="1"/>
  <c r="C139" i="3"/>
  <c r="E139" i="3" s="1"/>
  <c r="D139" i="3"/>
  <c r="F139" i="3" s="1"/>
  <c r="C140" i="3"/>
  <c r="D140" i="3"/>
  <c r="F140" i="3" s="1"/>
  <c r="C141" i="3"/>
  <c r="D141" i="3"/>
  <c r="F141" i="3" s="1"/>
  <c r="C142" i="3"/>
  <c r="D142" i="3"/>
  <c r="F142" i="3" s="1"/>
  <c r="C143" i="3"/>
  <c r="D143" i="3"/>
  <c r="F143" i="3" s="1"/>
  <c r="E143" i="3"/>
  <c r="C144" i="3"/>
  <c r="D144" i="3"/>
  <c r="F144" i="3" s="1"/>
  <c r="C145" i="3"/>
  <c r="E145" i="3" s="1"/>
  <c r="D145" i="3"/>
  <c r="F145" i="3" s="1"/>
  <c r="C146" i="3"/>
  <c r="E146" i="3" s="1"/>
  <c r="D146" i="3"/>
  <c r="F146" i="3" s="1"/>
  <c r="C147" i="3"/>
  <c r="E147" i="3" s="1"/>
  <c r="D147" i="3"/>
  <c r="F147" i="3" s="1"/>
  <c r="C148" i="3"/>
  <c r="E148" i="3" s="1"/>
  <c r="D148" i="3"/>
  <c r="F148" i="3" s="1"/>
  <c r="C149" i="3"/>
  <c r="E149" i="3" s="1"/>
  <c r="D149" i="3"/>
  <c r="F149" i="3" s="1"/>
  <c r="C150" i="3"/>
  <c r="E150" i="3" s="1"/>
  <c r="D150" i="3"/>
  <c r="F150" i="3" s="1"/>
  <c r="C151" i="3"/>
  <c r="D151" i="3"/>
  <c r="F151" i="3" s="1"/>
  <c r="E151" i="3"/>
  <c r="C152" i="3"/>
  <c r="E152" i="3" s="1"/>
  <c r="D152" i="3"/>
  <c r="F152" i="3" s="1"/>
  <c r="C153" i="3"/>
  <c r="E153" i="3" s="1"/>
  <c r="D153" i="3"/>
  <c r="F153" i="3" s="1"/>
  <c r="C154" i="3"/>
  <c r="E154" i="3" s="1"/>
  <c r="D154" i="3"/>
  <c r="F154" i="3" s="1"/>
  <c r="C155" i="3"/>
  <c r="E155" i="3" s="1"/>
  <c r="D155" i="3"/>
  <c r="F155" i="3" s="1"/>
  <c r="C156" i="3"/>
  <c r="E156" i="3" s="1"/>
  <c r="D156" i="3"/>
  <c r="F156" i="3" s="1"/>
  <c r="C157" i="3"/>
  <c r="E157" i="3" s="1"/>
  <c r="D157" i="3"/>
  <c r="F157" i="3" s="1"/>
  <c r="C158" i="3"/>
  <c r="E158" i="3" s="1"/>
  <c r="D158" i="3"/>
  <c r="F158" i="3" s="1"/>
  <c r="C159" i="3"/>
  <c r="D159" i="3"/>
  <c r="F159" i="3" s="1"/>
  <c r="E159" i="3"/>
  <c r="C160" i="3"/>
  <c r="E160" i="3" s="1"/>
  <c r="D160" i="3"/>
  <c r="F160" i="3" s="1"/>
  <c r="C161" i="3"/>
  <c r="E161" i="3" s="1"/>
  <c r="D161" i="3"/>
  <c r="F161" i="3" s="1"/>
  <c r="C162" i="3"/>
  <c r="E162" i="3" s="1"/>
  <c r="D162" i="3"/>
  <c r="F162" i="3" s="1"/>
  <c r="C163" i="3"/>
  <c r="E163" i="3" s="1"/>
  <c r="D163" i="3"/>
  <c r="F163" i="3" s="1"/>
  <c r="C164" i="3"/>
  <c r="E164" i="3" s="1"/>
  <c r="D164" i="3"/>
  <c r="F164" i="3" s="1"/>
  <c r="C165" i="3"/>
  <c r="E165" i="3" s="1"/>
  <c r="D165" i="3"/>
  <c r="F165" i="3" s="1"/>
  <c r="C166" i="3"/>
  <c r="E166" i="3" s="1"/>
  <c r="D166" i="3"/>
  <c r="F166" i="3" s="1"/>
  <c r="C167" i="3"/>
  <c r="D167" i="3"/>
  <c r="F167" i="3" s="1"/>
  <c r="E167" i="3"/>
  <c r="C168" i="3"/>
  <c r="E168" i="3" s="1"/>
  <c r="D168" i="3"/>
  <c r="F168" i="3" s="1"/>
  <c r="C169" i="3"/>
  <c r="E169" i="3" s="1"/>
  <c r="D169" i="3"/>
  <c r="F169" i="3" s="1"/>
  <c r="C170" i="3"/>
  <c r="E170" i="3" s="1"/>
  <c r="D170" i="3"/>
  <c r="F170" i="3" s="1"/>
  <c r="C171" i="3"/>
  <c r="E171" i="3" s="1"/>
  <c r="D171" i="3"/>
  <c r="F171" i="3" s="1"/>
  <c r="C172" i="3"/>
  <c r="E172" i="3" s="1"/>
  <c r="D172" i="3"/>
  <c r="F172" i="3" s="1"/>
  <c r="C173" i="3"/>
  <c r="E173" i="3" s="1"/>
  <c r="D173" i="3"/>
  <c r="F173" i="3" s="1"/>
  <c r="C174" i="3"/>
  <c r="E174" i="3" s="1"/>
  <c r="D174" i="3"/>
  <c r="F174" i="3" s="1"/>
  <c r="C175" i="3"/>
  <c r="D175" i="3"/>
  <c r="F175" i="3" s="1"/>
  <c r="E175" i="3"/>
  <c r="C176" i="3"/>
  <c r="E176" i="3" s="1"/>
  <c r="D176" i="3"/>
  <c r="F176" i="3" s="1"/>
  <c r="C177" i="3"/>
  <c r="E177" i="3" s="1"/>
  <c r="D177" i="3"/>
  <c r="F177" i="3" s="1"/>
  <c r="C178" i="3"/>
  <c r="E178" i="3" s="1"/>
  <c r="D178" i="3"/>
  <c r="F178" i="3" s="1"/>
  <c r="C179" i="3"/>
  <c r="E179" i="3" s="1"/>
  <c r="D179" i="3"/>
  <c r="F179" i="3" s="1"/>
  <c r="C180" i="3"/>
  <c r="E180" i="3" s="1"/>
  <c r="D180" i="3"/>
  <c r="F180" i="3" s="1"/>
  <c r="C181" i="3"/>
  <c r="E181" i="3" s="1"/>
  <c r="D181" i="3"/>
  <c r="F181" i="3" s="1"/>
  <c r="C182" i="3"/>
  <c r="E182" i="3" s="1"/>
  <c r="D182" i="3"/>
  <c r="F182" i="3" s="1"/>
  <c r="C183" i="3"/>
  <c r="D183" i="3"/>
  <c r="F183" i="3" s="1"/>
  <c r="E183" i="3"/>
  <c r="C184" i="3"/>
  <c r="E184" i="3" s="1"/>
  <c r="D184" i="3"/>
  <c r="F184" i="3" s="1"/>
  <c r="C185" i="3"/>
  <c r="E185" i="3" s="1"/>
  <c r="D185" i="3"/>
  <c r="F185" i="3" s="1"/>
  <c r="C186" i="3"/>
  <c r="E186" i="3" s="1"/>
  <c r="D186" i="3"/>
  <c r="F186" i="3" s="1"/>
  <c r="C187" i="3"/>
  <c r="E187" i="3" s="1"/>
  <c r="D187" i="3"/>
  <c r="F187" i="3" s="1"/>
  <c r="C188" i="3"/>
  <c r="E188" i="3" s="1"/>
  <c r="D188" i="3"/>
  <c r="F188" i="3" s="1"/>
  <c r="C189" i="3"/>
  <c r="E189" i="3" s="1"/>
  <c r="D189" i="3"/>
  <c r="F189" i="3" s="1"/>
  <c r="C190" i="3"/>
  <c r="E190" i="3" s="1"/>
  <c r="D190" i="3"/>
  <c r="F190" i="3" s="1"/>
  <c r="C191" i="3"/>
  <c r="D191" i="3"/>
  <c r="F191" i="3" s="1"/>
  <c r="E191" i="3"/>
  <c r="C192" i="3"/>
  <c r="E192" i="3" s="1"/>
  <c r="D192" i="3"/>
  <c r="F192" i="3" s="1"/>
  <c r="C193" i="3"/>
  <c r="E193" i="3" s="1"/>
  <c r="D193" i="3"/>
  <c r="F193" i="3" s="1"/>
  <c r="C194" i="3"/>
  <c r="E194" i="3" s="1"/>
  <c r="D194" i="3"/>
  <c r="F194" i="3" s="1"/>
  <c r="C195" i="3"/>
  <c r="E195" i="3" s="1"/>
  <c r="D195" i="3"/>
  <c r="F195" i="3" s="1"/>
  <c r="C196" i="3"/>
  <c r="E196" i="3" s="1"/>
  <c r="D196" i="3"/>
  <c r="F196" i="3" s="1"/>
  <c r="C197" i="3"/>
  <c r="E197" i="3" s="1"/>
  <c r="D197" i="3"/>
  <c r="F197" i="3" s="1"/>
  <c r="C198" i="3"/>
  <c r="E198" i="3" s="1"/>
  <c r="D198" i="3"/>
  <c r="F198" i="3" s="1"/>
  <c r="C199" i="3"/>
  <c r="D199" i="3"/>
  <c r="F199" i="3" s="1"/>
  <c r="E199" i="3"/>
  <c r="C200" i="3"/>
  <c r="E200" i="3" s="1"/>
  <c r="D200" i="3"/>
  <c r="F200" i="3" s="1"/>
  <c r="C201" i="3"/>
  <c r="E201" i="3" s="1"/>
  <c r="D201" i="3"/>
  <c r="F201" i="3" s="1"/>
  <c r="C202" i="3"/>
  <c r="E202" i="3" s="1"/>
  <c r="D202" i="3"/>
  <c r="F202" i="3" s="1"/>
  <c r="C203" i="3"/>
  <c r="E203" i="3" s="1"/>
  <c r="D203" i="3"/>
  <c r="F203" i="3" s="1"/>
  <c r="C204" i="3"/>
  <c r="E204" i="3" s="1"/>
  <c r="D204" i="3"/>
  <c r="F204" i="3" s="1"/>
  <c r="C205" i="3"/>
  <c r="E205" i="3" s="1"/>
  <c r="D205" i="3"/>
  <c r="F205" i="3" s="1"/>
  <c r="C206" i="3"/>
  <c r="E206" i="3" s="1"/>
  <c r="D206" i="3"/>
  <c r="F206" i="3" s="1"/>
  <c r="C207" i="3"/>
  <c r="D207" i="3"/>
  <c r="F207" i="3" s="1"/>
  <c r="E207" i="3"/>
  <c r="C208" i="3"/>
  <c r="E208" i="3" s="1"/>
  <c r="D208" i="3"/>
  <c r="F208" i="3" s="1"/>
  <c r="C209" i="3"/>
  <c r="E209" i="3" s="1"/>
  <c r="D209" i="3"/>
  <c r="F209" i="3" s="1"/>
  <c r="C210" i="3"/>
  <c r="E210" i="3" s="1"/>
  <c r="D210" i="3"/>
  <c r="F210" i="3" s="1"/>
  <c r="C211" i="3"/>
  <c r="E211" i="3" s="1"/>
  <c r="D211" i="3"/>
  <c r="F211" i="3" s="1"/>
  <c r="C212" i="3"/>
  <c r="E212" i="3" s="1"/>
  <c r="D212" i="3"/>
  <c r="F212" i="3" s="1"/>
  <c r="C213" i="3"/>
  <c r="E213" i="3" s="1"/>
  <c r="D213" i="3"/>
  <c r="F213" i="3" s="1"/>
  <c r="C214" i="3"/>
  <c r="E214" i="3" s="1"/>
  <c r="D214" i="3"/>
  <c r="F214" i="3" s="1"/>
  <c r="C215" i="3"/>
  <c r="D215" i="3"/>
  <c r="F215" i="3" s="1"/>
  <c r="E215" i="3"/>
  <c r="C216" i="3"/>
  <c r="E216" i="3" s="1"/>
  <c r="D216" i="3"/>
  <c r="F216" i="3" s="1"/>
  <c r="C217" i="3"/>
  <c r="E217" i="3" s="1"/>
  <c r="D217" i="3"/>
  <c r="F217" i="3" s="1"/>
  <c r="C218" i="3"/>
  <c r="E218" i="3" s="1"/>
  <c r="D218" i="3"/>
  <c r="F218" i="3" s="1"/>
  <c r="D3" i="3"/>
  <c r="C3" i="3"/>
  <c r="L2" i="3"/>
  <c r="I2" i="3"/>
  <c r="D2" i="3"/>
  <c r="P47" i="3" s="1"/>
  <c r="C2" i="3"/>
  <c r="O47" i="3" s="1"/>
  <c r="C3" i="2"/>
  <c r="C4" i="2"/>
  <c r="C5" i="2"/>
  <c r="D6" i="2" s="1"/>
  <c r="C6" i="2"/>
  <c r="D7" i="2" s="1"/>
  <c r="C7" i="2"/>
  <c r="D8" i="2" s="1"/>
  <c r="C8" i="2"/>
  <c r="C9" i="2"/>
  <c r="D10" i="2" s="1"/>
  <c r="C10" i="2"/>
  <c r="C11" i="2"/>
  <c r="D12" i="2" s="1"/>
  <c r="C12" i="2"/>
  <c r="D13" i="2" s="1"/>
  <c r="C13" i="2"/>
  <c r="D14" i="2" s="1"/>
  <c r="C14" i="2"/>
  <c r="C15" i="2"/>
  <c r="D16" i="2" s="1"/>
  <c r="C16" i="2"/>
  <c r="C17" i="2"/>
  <c r="C18" i="2"/>
  <c r="C19" i="2"/>
  <c r="C20" i="2"/>
  <c r="D21" i="2" s="1"/>
  <c r="C21" i="2"/>
  <c r="D22" i="2" s="1"/>
  <c r="C22" i="2"/>
  <c r="C23" i="2"/>
  <c r="D24" i="2" s="1"/>
  <c r="C24" i="2"/>
  <c r="C25" i="2"/>
  <c r="C26" i="2"/>
  <c r="D27" i="2" s="1"/>
  <c r="C27" i="2"/>
  <c r="C28" i="2"/>
  <c r="D29" i="2" s="1"/>
  <c r="C29" i="2"/>
  <c r="C30" i="2"/>
  <c r="D31" i="2" s="1"/>
  <c r="C31" i="2"/>
  <c r="C32" i="2"/>
  <c r="C33" i="2"/>
  <c r="C34" i="2"/>
  <c r="C35" i="2"/>
  <c r="D36" i="2" s="1"/>
  <c r="C36" i="2"/>
  <c r="D37" i="2" s="1"/>
  <c r="C37" i="2"/>
  <c r="C38" i="2"/>
  <c r="D39" i="2" s="1"/>
  <c r="C39" i="2"/>
  <c r="C40" i="2"/>
  <c r="D41" i="2" s="1"/>
  <c r="C41" i="2"/>
  <c r="C42" i="2"/>
  <c r="D43" i="2" s="1"/>
  <c r="C43" i="2"/>
  <c r="C44" i="2"/>
  <c r="D45" i="2" s="1"/>
  <c r="C45" i="2"/>
  <c r="C46" i="2"/>
  <c r="C47" i="2"/>
  <c r="C48" i="2"/>
  <c r="D49" i="2" s="1"/>
  <c r="C49" i="2"/>
  <c r="D50" i="2" s="1"/>
  <c r="C50" i="2"/>
  <c r="C51" i="2"/>
  <c r="D52" i="2" s="1"/>
  <c r="C52" i="2"/>
  <c r="C53" i="2"/>
  <c r="D54" i="2" s="1"/>
  <c r="C54" i="2"/>
  <c r="C55" i="2"/>
  <c r="C56" i="2"/>
  <c r="D57" i="2" s="1"/>
  <c r="C57" i="2"/>
  <c r="D58" i="2" s="1"/>
  <c r="C58" i="2"/>
  <c r="C59" i="2"/>
  <c r="D60" i="2" s="1"/>
  <c r="C60" i="2"/>
  <c r="D61" i="2" s="1"/>
  <c r="C61" i="2"/>
  <c r="C62" i="2"/>
  <c r="D63" i="2" s="1"/>
  <c r="C63" i="2"/>
  <c r="D64" i="2" s="1"/>
  <c r="C64" i="2"/>
  <c r="D65" i="2" s="1"/>
  <c r="C65" i="2"/>
  <c r="C66" i="2"/>
  <c r="D67" i="2" s="1"/>
  <c r="C67" i="2"/>
  <c r="D68" i="2" s="1"/>
  <c r="C68" i="2"/>
  <c r="D69" i="2" s="1"/>
  <c r="C69" i="2"/>
  <c r="C70" i="2"/>
  <c r="D71" i="2" s="1"/>
  <c r="C71" i="2"/>
  <c r="D72" i="2" s="1"/>
  <c r="C72" i="2"/>
  <c r="C73" i="2"/>
  <c r="C74" i="2"/>
  <c r="C75" i="2"/>
  <c r="D76" i="2" s="1"/>
  <c r="C76" i="2"/>
  <c r="C77" i="2"/>
  <c r="C78" i="2"/>
  <c r="D79" i="2" s="1"/>
  <c r="C79" i="2"/>
  <c r="C80" i="2"/>
  <c r="D81" i="2" s="1"/>
  <c r="C81" i="2"/>
  <c r="C82" i="2"/>
  <c r="D83" i="2" s="1"/>
  <c r="C83" i="2"/>
  <c r="C84" i="2"/>
  <c r="D85" i="2" s="1"/>
  <c r="C85" i="2"/>
  <c r="C86" i="2"/>
  <c r="C87" i="2"/>
  <c r="D88" i="2" s="1"/>
  <c r="C88" i="2"/>
  <c r="C89" i="2"/>
  <c r="D90" i="2" s="1"/>
  <c r="C90" i="2"/>
  <c r="C91" i="2"/>
  <c r="D92" i="2" s="1"/>
  <c r="C92" i="2"/>
  <c r="C93" i="2"/>
  <c r="C94" i="2"/>
  <c r="D95" i="2" s="1"/>
  <c r="C95" i="2"/>
  <c r="C96" i="2"/>
  <c r="D97" i="2" s="1"/>
  <c r="C97" i="2"/>
  <c r="C98" i="2"/>
  <c r="C99" i="2"/>
  <c r="D100" i="2" s="1"/>
  <c r="C100" i="2"/>
  <c r="C101" i="2"/>
  <c r="C102" i="2"/>
  <c r="D103" i="2" s="1"/>
  <c r="C103" i="2"/>
  <c r="C104" i="2"/>
  <c r="D105" i="2" s="1"/>
  <c r="C105" i="2"/>
  <c r="C106" i="2"/>
  <c r="D107" i="2" s="1"/>
  <c r="C107" i="2"/>
  <c r="C108" i="2"/>
  <c r="C109" i="2"/>
  <c r="C110" i="2"/>
  <c r="D111" i="2" s="1"/>
  <c r="C111" i="2"/>
  <c r="C112" i="2"/>
  <c r="C113" i="2"/>
  <c r="C114" i="2"/>
  <c r="C115" i="2"/>
  <c r="C116" i="2"/>
  <c r="C117" i="2"/>
  <c r="D118" i="2" s="1"/>
  <c r="C118" i="2"/>
  <c r="D119" i="2" s="1"/>
  <c r="C119" i="2"/>
  <c r="C120" i="2"/>
  <c r="C121" i="2"/>
  <c r="D122" i="2" s="1"/>
  <c r="C122" i="2"/>
  <c r="C123" i="2"/>
  <c r="C124" i="2"/>
  <c r="C125" i="2"/>
  <c r="D126" i="2" s="1"/>
  <c r="C126" i="2"/>
  <c r="C127" i="2"/>
  <c r="D128" i="2" s="1"/>
  <c r="C128" i="2"/>
  <c r="C129" i="2"/>
  <c r="D130" i="2" s="1"/>
  <c r="C130" i="2"/>
  <c r="C131" i="2"/>
  <c r="C132" i="2"/>
  <c r="D133" i="2" s="1"/>
  <c r="C133" i="2"/>
  <c r="D134" i="2" s="1"/>
  <c r="C134" i="2"/>
  <c r="C135" i="2"/>
  <c r="C136" i="2"/>
  <c r="C137" i="2"/>
  <c r="C138" i="2"/>
  <c r="D139" i="2" s="1"/>
  <c r="C139" i="2"/>
  <c r="C140" i="2"/>
  <c r="D141" i="2" s="1"/>
  <c r="C141" i="2"/>
  <c r="C142" i="2"/>
  <c r="C143" i="2"/>
  <c r="D144" i="2" s="1"/>
  <c r="C144" i="2"/>
  <c r="C145" i="2"/>
  <c r="D146" i="2" s="1"/>
  <c r="C146" i="2"/>
  <c r="C147" i="2"/>
  <c r="D148" i="2" s="1"/>
  <c r="C148" i="2"/>
  <c r="C149" i="2"/>
  <c r="D150" i="2" s="1"/>
  <c r="C150" i="2"/>
  <c r="D151" i="2" s="1"/>
  <c r="C151" i="2"/>
  <c r="C152" i="2"/>
  <c r="C153" i="2"/>
  <c r="C154" i="2"/>
  <c r="C155" i="2"/>
  <c r="D156" i="2" s="1"/>
  <c r="C156" i="2"/>
  <c r="C157" i="2"/>
  <c r="D158" i="2" s="1"/>
  <c r="C158" i="2"/>
  <c r="C159" i="2"/>
  <c r="D160" i="2" s="1"/>
  <c r="C160" i="2"/>
  <c r="D161" i="2" s="1"/>
  <c r="C161" i="2"/>
  <c r="C162" i="2"/>
  <c r="C163" i="2"/>
  <c r="D164" i="2" s="1"/>
  <c r="C164" i="2"/>
  <c r="D165" i="2" s="1"/>
  <c r="C165" i="2"/>
  <c r="C166" i="2"/>
  <c r="C167" i="2"/>
  <c r="C168" i="2"/>
  <c r="D169" i="2" s="1"/>
  <c r="C169" i="2"/>
  <c r="C170" i="2"/>
  <c r="D171" i="2" s="1"/>
  <c r="C171" i="2"/>
  <c r="C172" i="2"/>
  <c r="D173" i="2" s="1"/>
  <c r="C173" i="2"/>
  <c r="D174" i="2" s="1"/>
  <c r="C174" i="2"/>
  <c r="C175" i="2"/>
  <c r="C176" i="2"/>
  <c r="C177" i="2"/>
  <c r="C178" i="2"/>
  <c r="C179" i="2"/>
  <c r="C180" i="2"/>
  <c r="D181" i="2" s="1"/>
  <c r="C181" i="2"/>
  <c r="C182" i="2"/>
  <c r="D183" i="2" s="1"/>
  <c r="C183" i="2"/>
  <c r="C184" i="2"/>
  <c r="D185" i="2" s="1"/>
  <c r="C185" i="2"/>
  <c r="C186" i="2"/>
  <c r="C187" i="2"/>
  <c r="C188" i="2"/>
  <c r="D189" i="2" s="1"/>
  <c r="C189" i="2"/>
  <c r="D190" i="2" s="1"/>
  <c r="C190" i="2"/>
  <c r="C191" i="2"/>
  <c r="C192" i="2"/>
  <c r="C193" i="2"/>
  <c r="D194" i="2" s="1"/>
  <c r="C194" i="2"/>
  <c r="C195" i="2"/>
  <c r="D196" i="2" s="1"/>
  <c r="C196" i="2"/>
  <c r="C197" i="2"/>
  <c r="D198" i="2" s="1"/>
  <c r="C198" i="2"/>
  <c r="C199" i="2"/>
  <c r="D200" i="2" s="1"/>
  <c r="C200" i="2"/>
  <c r="C201" i="2"/>
  <c r="C202" i="2"/>
  <c r="D203" i="2" s="1"/>
  <c r="C203" i="2"/>
  <c r="C204" i="2"/>
  <c r="D205" i="2" s="1"/>
  <c r="C205" i="2"/>
  <c r="C206" i="2"/>
  <c r="D207" i="2" s="1"/>
  <c r="C207" i="2"/>
  <c r="C208" i="2"/>
  <c r="D209" i="2" s="1"/>
  <c r="C209" i="2"/>
  <c r="D210" i="2" s="1"/>
  <c r="C210" i="2"/>
  <c r="C211" i="2"/>
  <c r="D212" i="2" s="1"/>
  <c r="C212" i="2"/>
  <c r="D213" i="2" s="1"/>
  <c r="C213" i="2"/>
  <c r="D214" i="2" s="1"/>
  <c r="C214" i="2"/>
  <c r="C215" i="2"/>
  <c r="D216" i="2" s="1"/>
  <c r="C216" i="2"/>
  <c r="C217" i="2"/>
  <c r="C218" i="2"/>
  <c r="D219" i="2" s="1"/>
  <c r="C219" i="2"/>
  <c r="C220" i="2"/>
  <c r="C221" i="2"/>
  <c r="C222" i="2"/>
  <c r="D223" i="2" s="1"/>
  <c r="C223" i="2"/>
  <c r="C224" i="2"/>
  <c r="D225" i="2" s="1"/>
  <c r="C225" i="2"/>
  <c r="C226" i="2"/>
  <c r="C227" i="2"/>
  <c r="C228" i="2"/>
  <c r="D229" i="2" s="1"/>
  <c r="C229" i="2"/>
  <c r="D230" i="2" s="1"/>
  <c r="C230" i="2"/>
  <c r="C231" i="2"/>
  <c r="C232" i="2"/>
  <c r="C233" i="2"/>
  <c r="D234" i="2" s="1"/>
  <c r="C234" i="2"/>
  <c r="C235" i="2"/>
  <c r="C236" i="2"/>
  <c r="C237" i="2"/>
  <c r="C238" i="2"/>
  <c r="D239" i="2" s="1"/>
  <c r="C239" i="2"/>
  <c r="C240" i="2"/>
  <c r="D241" i="2" s="1"/>
  <c r="C241" i="2"/>
  <c r="C242" i="2"/>
  <c r="C243" i="2"/>
  <c r="C244" i="2"/>
  <c r="D245" i="2" s="1"/>
  <c r="C245" i="2"/>
  <c r="C246" i="2"/>
  <c r="C247" i="2"/>
  <c r="D248" i="2" s="1"/>
  <c r="C248" i="2"/>
  <c r="C249" i="2"/>
  <c r="D250" i="2" s="1"/>
  <c r="C250" i="2"/>
  <c r="D251" i="2" s="1"/>
  <c r="C251" i="2"/>
  <c r="D252" i="2" s="1"/>
  <c r="C252" i="2"/>
  <c r="C253" i="2"/>
  <c r="D254" i="2" s="1"/>
  <c r="C254" i="2"/>
  <c r="C255" i="2"/>
  <c r="D256" i="2" s="1"/>
  <c r="C256" i="2"/>
  <c r="D257" i="2" s="1"/>
  <c r="C257" i="2"/>
  <c r="D258" i="2" s="1"/>
  <c r="C258" i="2"/>
  <c r="C259" i="2"/>
  <c r="C260" i="2"/>
  <c r="D261" i="2" s="1"/>
  <c r="C261" i="2"/>
  <c r="C262" i="2"/>
  <c r="D263" i="2" s="1"/>
  <c r="C263" i="2"/>
  <c r="D264" i="2" s="1"/>
  <c r="C264" i="2"/>
  <c r="C265" i="2"/>
  <c r="D266" i="2" s="1"/>
  <c r="C266" i="2"/>
  <c r="C267" i="2"/>
  <c r="D268" i="2" s="1"/>
  <c r="C268" i="2"/>
  <c r="C269" i="2"/>
  <c r="D270" i="2" s="1"/>
  <c r="C270" i="2"/>
  <c r="C271" i="2"/>
  <c r="C272" i="2"/>
  <c r="C273" i="2"/>
  <c r="C274" i="2"/>
  <c r="D275" i="2" s="1"/>
  <c r="C275" i="2"/>
  <c r="C276" i="2"/>
  <c r="C277" i="2"/>
  <c r="D278" i="2" s="1"/>
  <c r="C278" i="2"/>
  <c r="C279" i="2"/>
  <c r="D280" i="2" s="1"/>
  <c r="C280" i="2"/>
  <c r="C281" i="2"/>
  <c r="D282" i="2" s="1"/>
  <c r="C282" i="2"/>
  <c r="C283" i="2"/>
  <c r="D284" i="2" s="1"/>
  <c r="C284" i="2"/>
  <c r="C285" i="2"/>
  <c r="C286" i="2"/>
  <c r="D287" i="2" s="1"/>
  <c r="C287" i="2"/>
  <c r="D288" i="2" s="1"/>
  <c r="C288" i="2"/>
  <c r="C289" i="2"/>
  <c r="D290" i="2" s="1"/>
  <c r="C290" i="2"/>
  <c r="C291" i="2"/>
  <c r="D292" i="2" s="1"/>
  <c r="C292" i="2"/>
  <c r="D293" i="2" s="1"/>
  <c r="C293" i="2"/>
  <c r="C294" i="2"/>
  <c r="D295" i="2" s="1"/>
  <c r="C295" i="2"/>
  <c r="D296" i="2" s="1"/>
  <c r="C296" i="2"/>
  <c r="C297" i="2"/>
  <c r="C298" i="2"/>
  <c r="C299" i="2"/>
  <c r="C300" i="2"/>
  <c r="D301" i="2" s="1"/>
  <c r="C301" i="2"/>
  <c r="C302" i="2"/>
  <c r="D303" i="2" s="1"/>
  <c r="C303" i="2"/>
  <c r="D304" i="2" s="1"/>
  <c r="C304" i="2"/>
  <c r="C305" i="2"/>
  <c r="C306" i="2"/>
  <c r="D307" i="2" s="1"/>
  <c r="C307" i="2"/>
  <c r="C308" i="2"/>
  <c r="C309" i="2"/>
  <c r="C310" i="2"/>
  <c r="C311" i="2"/>
  <c r="C312" i="2"/>
  <c r="C313" i="2"/>
  <c r="C314" i="2"/>
  <c r="D315" i="2" s="1"/>
  <c r="C315" i="2"/>
  <c r="C316" i="2"/>
  <c r="C317" i="2"/>
  <c r="C318" i="2"/>
  <c r="C319" i="2"/>
  <c r="C320" i="2"/>
  <c r="C321" i="2"/>
  <c r="C322" i="2"/>
  <c r="D323" i="2" s="1"/>
  <c r="C323" i="2"/>
  <c r="C324" i="2"/>
  <c r="D325" i="2" s="1"/>
  <c r="C325" i="2"/>
  <c r="C326" i="2"/>
  <c r="D327" i="2" s="1"/>
  <c r="C327" i="2"/>
  <c r="C328" i="2"/>
  <c r="C329" i="2"/>
  <c r="C330" i="2"/>
  <c r="C331" i="2"/>
  <c r="C332" i="2"/>
  <c r="D333" i="2" s="1"/>
  <c r="C333" i="2"/>
  <c r="C334" i="2"/>
  <c r="D335" i="2" s="1"/>
  <c r="C335" i="2"/>
  <c r="C336" i="2"/>
  <c r="C337" i="2"/>
  <c r="D338" i="2" s="1"/>
  <c r="C338" i="2"/>
  <c r="C339" i="2"/>
  <c r="D340" i="2" s="1"/>
  <c r="C340" i="2"/>
  <c r="C341" i="2"/>
  <c r="D342" i="2" s="1"/>
  <c r="C342" i="2"/>
  <c r="C343" i="2"/>
  <c r="C344" i="2"/>
  <c r="C345" i="2"/>
  <c r="D346" i="2" s="1"/>
  <c r="C346" i="2"/>
  <c r="C347" i="2"/>
  <c r="C348" i="2"/>
  <c r="C349" i="2"/>
  <c r="C350" i="2"/>
  <c r="C351" i="2"/>
  <c r="C352" i="2"/>
  <c r="C353" i="2"/>
  <c r="C354" i="2"/>
  <c r="D355" i="2" s="1"/>
  <c r="C355" i="2"/>
  <c r="C356" i="2"/>
  <c r="C357" i="2"/>
  <c r="D358" i="2" s="1"/>
  <c r="C358" i="2"/>
  <c r="C359" i="2"/>
  <c r="C360" i="2"/>
  <c r="C361" i="2"/>
  <c r="D362" i="2" s="1"/>
  <c r="C362" i="2"/>
  <c r="C363" i="2"/>
  <c r="C364" i="2"/>
  <c r="D365" i="2" s="1"/>
  <c r="C365" i="2"/>
  <c r="C366" i="2"/>
  <c r="D367" i="2" s="1"/>
  <c r="C367" i="2"/>
  <c r="D368" i="2" s="1"/>
  <c r="C368" i="2"/>
  <c r="D369" i="2" s="1"/>
  <c r="C369" i="2"/>
  <c r="C2" i="2"/>
  <c r="H5" i="1"/>
  <c r="H8" i="1"/>
  <c r="H6" i="1"/>
  <c r="H9" i="1"/>
  <c r="H10" i="1"/>
  <c r="H13" i="1"/>
  <c r="H11" i="1"/>
  <c r="H14" i="1"/>
  <c r="H12" i="1"/>
  <c r="H15" i="1"/>
  <c r="H16" i="1"/>
  <c r="H17" i="1"/>
  <c r="H18" i="1"/>
  <c r="H19" i="1"/>
  <c r="H21" i="1"/>
  <c r="H22" i="1"/>
  <c r="H20" i="1"/>
  <c r="H23" i="1"/>
  <c r="H24" i="1"/>
  <c r="H25" i="1"/>
  <c r="H26" i="1"/>
  <c r="H27" i="1"/>
  <c r="H29" i="1"/>
  <c r="H28" i="1"/>
  <c r="H30" i="1"/>
  <c r="H31" i="1"/>
  <c r="H32" i="1"/>
  <c r="H33" i="1"/>
  <c r="H34" i="1"/>
  <c r="H36" i="1"/>
  <c r="H35" i="1"/>
  <c r="H37" i="1"/>
  <c r="H38" i="1"/>
  <c r="H39" i="1"/>
  <c r="H41" i="1"/>
  <c r="H40" i="1"/>
  <c r="H42" i="1"/>
  <c r="H43" i="1"/>
  <c r="H44" i="1"/>
  <c r="H45" i="1"/>
  <c r="H46" i="1"/>
  <c r="H47" i="1"/>
  <c r="H48" i="1"/>
  <c r="H50" i="1"/>
  <c r="H49" i="1"/>
  <c r="H52" i="1"/>
  <c r="H51" i="1"/>
  <c r="H53" i="1"/>
  <c r="H54" i="1"/>
  <c r="H55" i="1"/>
  <c r="H56" i="1"/>
  <c r="H58" i="1"/>
  <c r="H57" i="1"/>
  <c r="H59" i="1"/>
  <c r="H61" i="1"/>
  <c r="H60" i="1"/>
  <c r="H63" i="1"/>
  <c r="H65" i="1"/>
  <c r="H62" i="1"/>
  <c r="H64" i="1"/>
  <c r="H67" i="1"/>
  <c r="H69" i="1"/>
  <c r="H66" i="1"/>
  <c r="H68" i="1"/>
  <c r="H71" i="1"/>
  <c r="H72" i="1"/>
  <c r="H70" i="1"/>
  <c r="H73" i="1"/>
  <c r="H74" i="1"/>
  <c r="H75" i="1"/>
  <c r="H76" i="1"/>
  <c r="H77" i="1"/>
  <c r="H78" i="1"/>
  <c r="H79" i="1"/>
  <c r="H80" i="1"/>
  <c r="H81" i="1"/>
  <c r="H82" i="1"/>
  <c r="H83" i="1"/>
  <c r="H85" i="1"/>
  <c r="H84" i="1"/>
  <c r="H86" i="1"/>
  <c r="H87" i="1"/>
  <c r="H88" i="1"/>
  <c r="H90" i="1"/>
  <c r="H89" i="1"/>
  <c r="H91" i="1"/>
  <c r="H92" i="1"/>
  <c r="H93" i="1"/>
  <c r="H95" i="1"/>
  <c r="H94" i="1"/>
  <c r="H97" i="1"/>
  <c r="H96" i="1"/>
  <c r="H98" i="1"/>
  <c r="H99" i="1"/>
  <c r="H100" i="1"/>
  <c r="H101" i="1"/>
  <c r="H103" i="1"/>
  <c r="H102" i="1"/>
  <c r="H104" i="1"/>
  <c r="H105" i="1"/>
  <c r="H107" i="1"/>
  <c r="H106" i="1"/>
  <c r="H108" i="1"/>
  <c r="H109" i="1"/>
  <c r="H111" i="1"/>
  <c r="H110" i="1"/>
  <c r="H112" i="1"/>
  <c r="H113" i="1"/>
  <c r="H114" i="1"/>
  <c r="H115" i="1"/>
  <c r="H116" i="1"/>
  <c r="H117" i="1"/>
  <c r="H119" i="1"/>
  <c r="H118" i="1"/>
  <c r="H120" i="1"/>
  <c r="H121" i="1"/>
  <c r="H122" i="1"/>
  <c r="H123" i="1"/>
  <c r="H124" i="1"/>
  <c r="H125" i="1"/>
  <c r="H126" i="1"/>
  <c r="H127" i="1"/>
  <c r="H128" i="1"/>
  <c r="H129" i="1"/>
  <c r="H130" i="1"/>
  <c r="H131" i="1"/>
  <c r="H132" i="1"/>
  <c r="H134" i="1"/>
  <c r="H133" i="1"/>
  <c r="H135" i="1"/>
  <c r="H136" i="1"/>
  <c r="H137" i="1"/>
  <c r="H138" i="1"/>
  <c r="H139" i="1"/>
  <c r="H140" i="1"/>
  <c r="H141" i="1"/>
  <c r="H142" i="1"/>
  <c r="H143" i="1"/>
  <c r="H144" i="1"/>
  <c r="H145" i="1"/>
  <c r="H146" i="1"/>
  <c r="H147" i="1"/>
  <c r="H148" i="1"/>
  <c r="H149" i="1"/>
  <c r="H151" i="1"/>
  <c r="H150" i="1"/>
  <c r="H152" i="1"/>
  <c r="H153" i="1"/>
  <c r="H154" i="1"/>
  <c r="H155" i="1"/>
  <c r="H156" i="1"/>
  <c r="H157" i="1"/>
  <c r="H158" i="1"/>
  <c r="H161" i="1"/>
  <c r="H159" i="1"/>
  <c r="H160" i="1"/>
  <c r="H162" i="1"/>
  <c r="H163" i="1"/>
  <c r="H165" i="1"/>
  <c r="H164" i="1"/>
  <c r="H166" i="1"/>
  <c r="H167" i="1"/>
  <c r="H168" i="1"/>
  <c r="H169" i="1"/>
  <c r="H170" i="1"/>
  <c r="H171" i="1"/>
  <c r="H172" i="1"/>
  <c r="H174" i="1"/>
  <c r="H173" i="1"/>
  <c r="H175" i="1"/>
  <c r="H176" i="1"/>
  <c r="H177" i="1"/>
  <c r="H178" i="1"/>
  <c r="H179" i="1"/>
  <c r="H181" i="1"/>
  <c r="H180" i="1"/>
  <c r="H183" i="1"/>
  <c r="H182" i="1"/>
  <c r="H185" i="1"/>
  <c r="H184" i="1"/>
  <c r="H186" i="1"/>
  <c r="H187" i="1"/>
  <c r="H189" i="1"/>
  <c r="H190" i="1"/>
  <c r="H188" i="1"/>
  <c r="H191" i="1"/>
  <c r="H192" i="1"/>
  <c r="H193" i="1"/>
  <c r="H194" i="1"/>
  <c r="H195" i="1"/>
  <c r="H196" i="1"/>
  <c r="H198" i="1"/>
  <c r="H197" i="1"/>
  <c r="H200" i="1"/>
  <c r="H199" i="1"/>
  <c r="H201" i="1"/>
  <c r="H202" i="1"/>
  <c r="H203" i="1"/>
  <c r="H205" i="1"/>
  <c r="H204" i="1"/>
  <c r="H206" i="1"/>
  <c r="H207" i="1"/>
  <c r="H209" i="1"/>
  <c r="H208" i="1"/>
  <c r="H210" i="1"/>
  <c r="H213" i="1"/>
  <c r="H211" i="1"/>
  <c r="H214" i="1"/>
  <c r="H212" i="1"/>
  <c r="H216" i="1"/>
  <c r="H215" i="1"/>
  <c r="H217" i="1"/>
  <c r="H219" i="1"/>
  <c r="H218" i="1"/>
  <c r="H220" i="1"/>
  <c r="H221" i="1"/>
  <c r="H222" i="1"/>
  <c r="H223" i="1"/>
  <c r="H225" i="1"/>
  <c r="H224" i="1"/>
  <c r="H226" i="1"/>
  <c r="H227" i="1"/>
  <c r="H229" i="1"/>
  <c r="H228" i="1"/>
  <c r="H230" i="1"/>
  <c r="H231" i="1"/>
  <c r="H232" i="1"/>
  <c r="H233" i="1"/>
  <c r="H234" i="1"/>
  <c r="H235" i="1"/>
  <c r="H236" i="1"/>
  <c r="H237" i="1"/>
  <c r="H238" i="1"/>
  <c r="H239" i="1"/>
  <c r="H240" i="1"/>
  <c r="H241" i="1"/>
  <c r="H242" i="1"/>
  <c r="H243" i="1"/>
  <c r="H245" i="1"/>
  <c r="H244" i="1"/>
  <c r="H246" i="1"/>
  <c r="H247" i="1"/>
  <c r="H248" i="1"/>
  <c r="H251" i="1"/>
  <c r="H252" i="1"/>
  <c r="H249" i="1"/>
  <c r="H250" i="1"/>
  <c r="H253" i="1"/>
  <c r="H254" i="1"/>
  <c r="H257" i="1"/>
  <c r="H258" i="1"/>
  <c r="H255" i="1"/>
  <c r="H256" i="1"/>
  <c r="H259" i="1"/>
  <c r="H261" i="1"/>
  <c r="H260" i="1"/>
  <c r="H262" i="1"/>
  <c r="H264" i="1"/>
  <c r="H263" i="1"/>
  <c r="H266" i="1"/>
  <c r="H265" i="1"/>
  <c r="H268" i="1"/>
  <c r="H267" i="1"/>
  <c r="H270" i="1"/>
  <c r="H269" i="1"/>
  <c r="H271" i="1"/>
  <c r="H272" i="1"/>
  <c r="H273" i="1"/>
  <c r="H275" i="1"/>
  <c r="H274" i="1"/>
  <c r="H276" i="1"/>
  <c r="H277" i="1"/>
  <c r="H278" i="1"/>
  <c r="H280" i="1"/>
  <c r="H279" i="1"/>
  <c r="H281" i="1"/>
  <c r="H282" i="1"/>
  <c r="H284" i="1"/>
  <c r="H283" i="1"/>
  <c r="H285" i="1"/>
  <c r="H288" i="1"/>
  <c r="H286" i="1"/>
  <c r="H287" i="1"/>
  <c r="H289" i="1"/>
  <c r="H290" i="1"/>
  <c r="H293" i="1"/>
  <c r="H291" i="1"/>
  <c r="H292" i="1"/>
  <c r="H296" i="1"/>
  <c r="H294" i="1"/>
  <c r="H295" i="1"/>
  <c r="H297" i="1"/>
  <c r="H298" i="1"/>
  <c r="H299" i="1"/>
  <c r="H300" i="1"/>
  <c r="H301" i="1"/>
  <c r="H303" i="1"/>
  <c r="H304" i="1"/>
  <c r="H302" i="1"/>
  <c r="H305" i="1"/>
  <c r="H306" i="1"/>
  <c r="H307" i="1"/>
  <c r="H308" i="1"/>
  <c r="H309" i="1"/>
  <c r="H310" i="1"/>
  <c r="H311" i="1"/>
  <c r="H312" i="1"/>
  <c r="H313" i="1"/>
  <c r="H314" i="1"/>
  <c r="H315" i="1"/>
  <c r="H316" i="1"/>
  <c r="H317" i="1"/>
  <c r="H318" i="1"/>
  <c r="H319" i="1"/>
  <c r="H320" i="1"/>
  <c r="H321" i="1"/>
  <c r="H323" i="1"/>
  <c r="H322" i="1"/>
  <c r="H324" i="1"/>
  <c r="H325" i="1"/>
  <c r="H327" i="1"/>
  <c r="H326" i="1"/>
  <c r="H328" i="1"/>
  <c r="H329" i="1"/>
  <c r="H330" i="1"/>
  <c r="H331" i="1"/>
  <c r="H332" i="1"/>
  <c r="H333" i="1"/>
  <c r="H334" i="1"/>
  <c r="H335" i="1"/>
  <c r="H336" i="1"/>
  <c r="H338" i="1"/>
  <c r="H337" i="1"/>
  <c r="H339" i="1"/>
  <c r="H340" i="1"/>
  <c r="H342" i="1"/>
  <c r="H341" i="1"/>
  <c r="H343" i="1"/>
  <c r="H344" i="1"/>
  <c r="H345" i="1"/>
  <c r="H346" i="1"/>
  <c r="H347" i="1"/>
  <c r="H348" i="1"/>
  <c r="H349" i="1"/>
  <c r="H350" i="1"/>
  <c r="H351" i="1"/>
  <c r="H352" i="1"/>
  <c r="H353" i="1"/>
  <c r="H354" i="1"/>
  <c r="H355" i="1"/>
  <c r="H356" i="1"/>
  <c r="H358" i="1"/>
  <c r="H357" i="1"/>
  <c r="H359" i="1"/>
  <c r="H360" i="1"/>
  <c r="H361" i="1"/>
  <c r="H362" i="1"/>
  <c r="H363" i="1"/>
  <c r="H365" i="1"/>
  <c r="H364" i="1"/>
  <c r="H369" i="1"/>
  <c r="H366" i="1"/>
  <c r="H368" i="1"/>
  <c r="H367" i="1"/>
  <c r="H4" i="1"/>
  <c r="H7" i="1"/>
  <c r="D2" i="2" l="1"/>
  <c r="D3" i="2"/>
  <c r="F369" i="2"/>
  <c r="F368" i="2"/>
  <c r="E368" i="2"/>
  <c r="F367" i="2"/>
  <c r="E367" i="2"/>
  <c r="D366" i="2"/>
  <c r="F365" i="2"/>
  <c r="E365" i="2"/>
  <c r="D364" i="2"/>
  <c r="D363" i="2"/>
  <c r="F362" i="2"/>
  <c r="E362" i="2"/>
  <c r="D361" i="2"/>
  <c r="D360" i="2"/>
  <c r="D359" i="2"/>
  <c r="F358" i="2"/>
  <c r="E358" i="2"/>
  <c r="D357" i="2"/>
  <c r="D356" i="2"/>
  <c r="F355" i="2"/>
  <c r="E355" i="2"/>
  <c r="D354" i="2"/>
  <c r="D353" i="2"/>
  <c r="D352" i="2"/>
  <c r="D351" i="2"/>
  <c r="D350" i="2"/>
  <c r="D349" i="2"/>
  <c r="D348" i="2"/>
  <c r="D347" i="2"/>
  <c r="F346" i="2"/>
  <c r="E346" i="2"/>
  <c r="D345" i="2"/>
  <c r="D344" i="2"/>
  <c r="D343" i="2"/>
  <c r="F342" i="2"/>
  <c r="E342" i="2"/>
  <c r="D341" i="2"/>
  <c r="F340" i="2"/>
  <c r="E340" i="2"/>
  <c r="D339" i="2"/>
  <c r="F338" i="2"/>
  <c r="E338" i="2"/>
  <c r="D337" i="2"/>
  <c r="D336" i="2"/>
  <c r="F335" i="2"/>
  <c r="E335" i="2"/>
  <c r="D334" i="2"/>
  <c r="F333" i="2"/>
  <c r="E333" i="2"/>
  <c r="D332" i="2"/>
  <c r="D331" i="2"/>
  <c r="D330" i="2"/>
  <c r="D329" i="2"/>
  <c r="D328" i="2"/>
  <c r="F327" i="2"/>
  <c r="E327" i="2"/>
  <c r="D326" i="2"/>
  <c r="F325" i="2"/>
  <c r="E325" i="2"/>
  <c r="D324" i="2"/>
  <c r="F323" i="2"/>
  <c r="E323" i="2"/>
  <c r="D322" i="2"/>
  <c r="D321" i="2"/>
  <c r="D320" i="2"/>
  <c r="D319" i="2"/>
  <c r="D318" i="2"/>
  <c r="D317" i="2"/>
  <c r="D316" i="2"/>
  <c r="F315" i="2"/>
  <c r="E315" i="2"/>
  <c r="D314" i="2"/>
  <c r="D313" i="2"/>
  <c r="D312" i="2"/>
  <c r="D311" i="2"/>
  <c r="D310" i="2"/>
  <c r="D309" i="2"/>
  <c r="D308" i="2"/>
  <c r="F307" i="2"/>
  <c r="E307" i="2"/>
  <c r="D306" i="2"/>
  <c r="D305" i="2"/>
  <c r="F304" i="2"/>
  <c r="E304" i="2"/>
  <c r="F303" i="2"/>
  <c r="E303" i="2"/>
  <c r="D302" i="2"/>
  <c r="F301" i="2"/>
  <c r="E301" i="2"/>
  <c r="D300" i="2"/>
  <c r="D299" i="2"/>
  <c r="D298" i="2"/>
  <c r="D297" i="2"/>
  <c r="F296" i="2"/>
  <c r="E296" i="2"/>
  <c r="F295" i="2"/>
  <c r="E295" i="2"/>
  <c r="D294" i="2"/>
  <c r="F293" i="2"/>
  <c r="E293" i="2"/>
  <c r="F292" i="2"/>
  <c r="E292" i="2"/>
  <c r="D291" i="2"/>
  <c r="F290" i="2"/>
  <c r="E290" i="2"/>
  <c r="D289" i="2"/>
  <c r="F288" i="2"/>
  <c r="E288" i="2"/>
  <c r="F287" i="2"/>
  <c r="E287" i="2"/>
  <c r="D286" i="2"/>
  <c r="D285" i="2"/>
  <c r="F284" i="2"/>
  <c r="E284" i="2"/>
  <c r="D283" i="2"/>
  <c r="F282" i="2"/>
  <c r="E282" i="2"/>
  <c r="D281" i="2"/>
  <c r="F280" i="2"/>
  <c r="E280" i="2"/>
  <c r="D279" i="2"/>
  <c r="F278" i="2"/>
  <c r="E278" i="2"/>
  <c r="D277" i="2"/>
  <c r="D276" i="2"/>
  <c r="F275" i="2"/>
  <c r="E275" i="2"/>
  <c r="D274" i="2"/>
  <c r="D273" i="2"/>
  <c r="D272" i="2"/>
  <c r="D271" i="2"/>
  <c r="F270" i="2"/>
  <c r="E270" i="2"/>
  <c r="D269" i="2"/>
  <c r="F268" i="2"/>
  <c r="E268" i="2"/>
  <c r="D267" i="2"/>
  <c r="F266" i="2"/>
  <c r="E266" i="2"/>
  <c r="D265" i="2"/>
  <c r="F264" i="2"/>
  <c r="E264" i="2"/>
  <c r="F263" i="2"/>
  <c r="E263" i="2"/>
  <c r="D262" i="2"/>
  <c r="F261" i="2"/>
  <c r="E261" i="2"/>
  <c r="D260" i="2"/>
  <c r="D259" i="2"/>
  <c r="F258" i="2"/>
  <c r="E258" i="2"/>
  <c r="F257" i="2"/>
  <c r="E257" i="2"/>
  <c r="F256" i="2"/>
  <c r="E256" i="2"/>
  <c r="D255" i="2"/>
  <c r="F254" i="2"/>
  <c r="E254" i="2"/>
  <c r="D253" i="2"/>
  <c r="F252" i="2"/>
  <c r="E252" i="2"/>
  <c r="F251" i="2"/>
  <c r="E251" i="2"/>
  <c r="F250" i="2"/>
  <c r="E250" i="2"/>
  <c r="D249" i="2"/>
  <c r="F248" i="2"/>
  <c r="E248" i="2"/>
  <c r="D247" i="2"/>
  <c r="D246" i="2"/>
  <c r="F245" i="2"/>
  <c r="E245" i="2"/>
  <c r="D244" i="2"/>
  <c r="D243" i="2"/>
  <c r="D242" i="2"/>
  <c r="F241" i="2"/>
  <c r="E241" i="2"/>
  <c r="D240" i="2"/>
  <c r="F239" i="2"/>
  <c r="E239" i="2"/>
  <c r="D238" i="2"/>
  <c r="D237" i="2"/>
  <c r="D236" i="2"/>
  <c r="D235" i="2"/>
  <c r="F234" i="2"/>
  <c r="E234" i="2"/>
  <c r="D233" i="2"/>
  <c r="D232" i="2"/>
  <c r="D231" i="2"/>
  <c r="F230" i="2"/>
  <c r="E230" i="2"/>
  <c r="F229" i="2"/>
  <c r="E229" i="2"/>
  <c r="D228" i="2"/>
  <c r="D227" i="2"/>
  <c r="D226" i="2"/>
  <c r="F225" i="2"/>
  <c r="E225" i="2"/>
  <c r="D224" i="2"/>
  <c r="F223" i="2"/>
  <c r="E223" i="2"/>
  <c r="D222" i="2"/>
  <c r="D221" i="2"/>
  <c r="D220" i="2"/>
  <c r="F219" i="2"/>
  <c r="E219" i="2"/>
  <c r="D218" i="2"/>
  <c r="D217" i="2"/>
  <c r="F216" i="2"/>
  <c r="E216" i="2"/>
  <c r="D215" i="2"/>
  <c r="F214" i="2"/>
  <c r="E214" i="2"/>
  <c r="F213" i="2"/>
  <c r="E213" i="2"/>
  <c r="F212" i="2"/>
  <c r="E212" i="2"/>
  <c r="D211" i="2"/>
  <c r="F210" i="2"/>
  <c r="E210" i="2"/>
  <c r="F209" i="2"/>
  <c r="E209" i="2"/>
  <c r="D208" i="2"/>
  <c r="F207" i="2"/>
  <c r="E207" i="2"/>
  <c r="D206" i="2"/>
  <c r="F205" i="2"/>
  <c r="E205" i="2"/>
  <c r="D204" i="2"/>
  <c r="F203" i="2"/>
  <c r="E203" i="2"/>
  <c r="D202" i="2"/>
  <c r="D201" i="2"/>
  <c r="F200" i="2"/>
  <c r="E200" i="2"/>
  <c r="D199" i="2"/>
  <c r="F198" i="2"/>
  <c r="E198" i="2"/>
  <c r="D197" i="2"/>
  <c r="F196" i="2"/>
  <c r="E196" i="2"/>
  <c r="D195" i="2"/>
  <c r="F194" i="2"/>
  <c r="E194" i="2"/>
  <c r="D193" i="2"/>
  <c r="D192" i="2"/>
  <c r="D191" i="2"/>
  <c r="F190" i="2"/>
  <c r="E190" i="2"/>
  <c r="F189" i="2"/>
  <c r="E189" i="2"/>
  <c r="D188" i="2"/>
  <c r="D187" i="2"/>
  <c r="D186" i="2"/>
  <c r="F185" i="2"/>
  <c r="E185" i="2"/>
  <c r="D184" i="2"/>
  <c r="F183" i="2"/>
  <c r="E183" i="2"/>
  <c r="D182" i="2"/>
  <c r="F181" i="2"/>
  <c r="E181" i="2"/>
  <c r="D180" i="2"/>
  <c r="D179" i="2"/>
  <c r="D178" i="2"/>
  <c r="D177" i="2"/>
  <c r="D176" i="2"/>
  <c r="D175" i="2"/>
  <c r="F174" i="2"/>
  <c r="E174" i="2"/>
  <c r="F173" i="2"/>
  <c r="E173" i="2"/>
  <c r="D172" i="2"/>
  <c r="F171" i="2"/>
  <c r="E171" i="2"/>
  <c r="D170" i="2"/>
  <c r="F169" i="2"/>
  <c r="E169" i="2"/>
  <c r="D168" i="2"/>
  <c r="D167" i="2"/>
  <c r="D166" i="2"/>
  <c r="F165" i="2"/>
  <c r="E165" i="2"/>
  <c r="F164" i="2"/>
  <c r="E164" i="2"/>
  <c r="D163" i="2"/>
  <c r="D162" i="2"/>
  <c r="F161" i="2"/>
  <c r="E161" i="2"/>
  <c r="F160" i="2"/>
  <c r="E160" i="2"/>
  <c r="D159" i="2"/>
  <c r="F158" i="2"/>
  <c r="E158" i="2"/>
  <c r="D157" i="2"/>
  <c r="F156" i="2"/>
  <c r="E156" i="2"/>
  <c r="D155" i="2"/>
  <c r="D154" i="2"/>
  <c r="D153" i="2"/>
  <c r="D152" i="2"/>
  <c r="F151" i="2"/>
  <c r="E151" i="2"/>
  <c r="F150" i="2"/>
  <c r="E150" i="2"/>
  <c r="D149" i="2"/>
  <c r="F148" i="2"/>
  <c r="E148" i="2"/>
  <c r="D147" i="2"/>
  <c r="F146" i="2"/>
  <c r="E146" i="2"/>
  <c r="D145" i="2"/>
  <c r="F144" i="2"/>
  <c r="E144" i="2"/>
  <c r="D143" i="2"/>
  <c r="D142" i="2"/>
  <c r="F141" i="2"/>
  <c r="E141" i="2"/>
  <c r="D140" i="2"/>
  <c r="F139" i="2"/>
  <c r="E139" i="2"/>
  <c r="D138" i="2"/>
  <c r="D137" i="2"/>
  <c r="D136" i="2"/>
  <c r="D135" i="2"/>
  <c r="F134" i="2"/>
  <c r="E134" i="2"/>
  <c r="F133" i="2"/>
  <c r="E133" i="2"/>
  <c r="D132" i="2"/>
  <c r="D131" i="2"/>
  <c r="F130" i="2"/>
  <c r="E130" i="2"/>
  <c r="D129" i="2"/>
  <c r="F128" i="2"/>
  <c r="E128" i="2"/>
  <c r="D127" i="2"/>
  <c r="F126" i="2"/>
  <c r="E126" i="2"/>
  <c r="D125" i="2"/>
  <c r="D124" i="2"/>
  <c r="D123" i="2"/>
  <c r="F122" i="2"/>
  <c r="E122" i="2"/>
  <c r="D121" i="2"/>
  <c r="D120" i="2"/>
  <c r="F119" i="2"/>
  <c r="E119" i="2"/>
  <c r="F118" i="2"/>
  <c r="E118" i="2"/>
  <c r="D117" i="2"/>
  <c r="D116" i="2"/>
  <c r="D115" i="2"/>
  <c r="D114" i="2"/>
  <c r="D113" i="2"/>
  <c r="D112" i="2"/>
  <c r="F111" i="2"/>
  <c r="E111" i="2"/>
  <c r="D110" i="2"/>
  <c r="D109" i="2"/>
  <c r="D108" i="2"/>
  <c r="F107" i="2"/>
  <c r="E107" i="2"/>
  <c r="D106" i="2"/>
  <c r="F105" i="2"/>
  <c r="E105" i="2"/>
  <c r="D104" i="2"/>
  <c r="F103" i="2"/>
  <c r="E103" i="2"/>
  <c r="D102" i="2"/>
  <c r="D101" i="2"/>
  <c r="F100" i="2"/>
  <c r="E100" i="2"/>
  <c r="D99" i="2"/>
  <c r="D98" i="2"/>
  <c r="F97" i="2"/>
  <c r="E97" i="2"/>
  <c r="D96" i="2"/>
  <c r="F95" i="2"/>
  <c r="E95" i="2"/>
  <c r="D94" i="2"/>
  <c r="D93" i="2"/>
  <c r="F92" i="2"/>
  <c r="E92" i="2"/>
  <c r="D91" i="2"/>
  <c r="F90" i="2"/>
  <c r="E90" i="2"/>
  <c r="D89" i="2"/>
  <c r="F88" i="2"/>
  <c r="E88" i="2"/>
  <c r="D87" i="2"/>
  <c r="D86" i="2"/>
  <c r="F85" i="2"/>
  <c r="E85" i="2"/>
  <c r="D84" i="2"/>
  <c r="F83" i="2"/>
  <c r="E83" i="2"/>
  <c r="D82" i="2"/>
  <c r="F81" i="2"/>
  <c r="E81" i="2"/>
  <c r="D80" i="2"/>
  <c r="F79" i="2"/>
  <c r="E79" i="2"/>
  <c r="D78" i="2"/>
  <c r="D77" i="2"/>
  <c r="F76" i="2"/>
  <c r="E76" i="2"/>
  <c r="D75" i="2"/>
  <c r="D74" i="2"/>
  <c r="D73" i="2"/>
  <c r="F72" i="2"/>
  <c r="E72" i="2"/>
  <c r="F71" i="2"/>
  <c r="E71" i="2"/>
  <c r="D70" i="2"/>
  <c r="F69" i="2"/>
  <c r="E69" i="2"/>
  <c r="F68" i="2"/>
  <c r="E68" i="2"/>
  <c r="F67" i="2"/>
  <c r="E67" i="2"/>
  <c r="D66" i="2"/>
  <c r="F65" i="2"/>
  <c r="E65" i="2"/>
  <c r="F64" i="2"/>
  <c r="E64" i="2"/>
  <c r="F63" i="2"/>
  <c r="E63" i="2"/>
  <c r="D62" i="2"/>
  <c r="F61" i="2"/>
  <c r="E61" i="2"/>
  <c r="F60" i="2"/>
  <c r="E60" i="2"/>
  <c r="D59" i="2"/>
  <c r="F58" i="2"/>
  <c r="E58" i="2"/>
  <c r="F57" i="2"/>
  <c r="E57" i="2"/>
  <c r="D56" i="2"/>
  <c r="D55" i="2"/>
  <c r="F54" i="2"/>
  <c r="E54" i="2"/>
  <c r="D53" i="2"/>
  <c r="F52" i="2"/>
  <c r="E52" i="2"/>
  <c r="D51" i="2"/>
  <c r="F50" i="2"/>
  <c r="E50" i="2"/>
  <c r="F49" i="2"/>
  <c r="E49" i="2"/>
  <c r="D48" i="2"/>
  <c r="D47" i="2"/>
  <c r="D46" i="2"/>
  <c r="F45" i="2"/>
  <c r="E45" i="2"/>
  <c r="D44" i="2"/>
  <c r="F43" i="2"/>
  <c r="E43" i="2"/>
  <c r="D42" i="2"/>
  <c r="F41" i="2"/>
  <c r="E41" i="2"/>
  <c r="D40" i="2"/>
  <c r="F39" i="2"/>
  <c r="E39" i="2"/>
  <c r="D38" i="2"/>
  <c r="F37" i="2"/>
  <c r="E37" i="2"/>
  <c r="F36" i="2"/>
  <c r="E36" i="2"/>
  <c r="D35" i="2"/>
  <c r="D34" i="2"/>
  <c r="D33" i="2"/>
  <c r="D32" i="2"/>
  <c r="F31" i="2"/>
  <c r="E31" i="2"/>
  <c r="D30" i="2"/>
  <c r="F29" i="2"/>
  <c r="E29" i="2"/>
  <c r="D28" i="2"/>
  <c r="F27" i="2"/>
  <c r="E27" i="2"/>
  <c r="D26" i="2"/>
  <c r="D25" i="2"/>
  <c r="F24" i="2"/>
  <c r="E24" i="2"/>
  <c r="D23" i="2"/>
  <c r="F22" i="2"/>
  <c r="E22" i="2"/>
  <c r="F21" i="2"/>
  <c r="E21" i="2"/>
  <c r="D20" i="2"/>
  <c r="D19" i="2"/>
  <c r="D18" i="2"/>
  <c r="D17" i="2"/>
  <c r="F16" i="2"/>
  <c r="E16" i="2"/>
  <c r="D15" i="2"/>
  <c r="F14" i="2"/>
  <c r="E14" i="2"/>
  <c r="F13" i="2"/>
  <c r="E13" i="2"/>
  <c r="F12" i="2"/>
  <c r="E12" i="2"/>
  <c r="D11" i="2"/>
  <c r="F10" i="2"/>
  <c r="E10" i="2"/>
  <c r="D9" i="2"/>
  <c r="F8" i="2"/>
  <c r="E8" i="2"/>
  <c r="F7" i="2"/>
  <c r="E7" i="2"/>
  <c r="F6" i="2"/>
  <c r="E6" i="2"/>
  <c r="D5" i="2"/>
  <c r="D4" i="2"/>
  <c r="F2" i="3"/>
  <c r="P45" i="3"/>
  <c r="P46" i="3"/>
  <c r="Y3" i="3"/>
  <c r="E38" i="3"/>
  <c r="E35" i="3"/>
  <c r="E32" i="3"/>
  <c r="E27" i="3"/>
  <c r="E24" i="3"/>
  <c r="E21" i="3"/>
  <c r="F10" i="3"/>
  <c r="E7" i="3"/>
  <c r="E5" i="3"/>
  <c r="E34" i="3"/>
  <c r="E26" i="3"/>
  <c r="E20" i="3"/>
  <c r="E17" i="3"/>
  <c r="E14" i="3"/>
  <c r="E12" i="3"/>
  <c r="E9" i="3"/>
  <c r="F5" i="3"/>
  <c r="F3" i="3"/>
  <c r="Y4" i="3"/>
  <c r="E30" i="3"/>
  <c r="E18" i="3"/>
  <c r="E16" i="3"/>
  <c r="E13" i="3"/>
  <c r="E10" i="3"/>
  <c r="E8" i="3"/>
  <c r="F6" i="3"/>
  <c r="F4" i="3"/>
  <c r="Y5" i="3"/>
  <c r="Y6" i="3" s="1"/>
  <c r="Y7" i="3" s="1"/>
  <c r="Y8" i="3" s="1"/>
  <c r="Y9" i="3" s="1"/>
  <c r="Y10" i="3" s="1"/>
  <c r="Y11" i="3" s="1"/>
  <c r="Y12" i="3" s="1"/>
  <c r="Y13" i="3" s="1"/>
  <c r="Y14" i="3" s="1"/>
  <c r="Y15" i="3" s="1"/>
  <c r="Y16" i="3" s="1"/>
  <c r="Y17" i="3" s="1"/>
  <c r="Y18" i="3" s="1"/>
  <c r="Y19" i="3" s="1"/>
  <c r="Y20" i="3" s="1"/>
  <c r="Y21" i="3" s="1"/>
  <c r="Y22" i="3" s="1"/>
  <c r="Y23" i="3" s="1"/>
  <c r="Y24" i="3" s="1"/>
  <c r="Y25" i="3" s="1"/>
  <c r="Y26" i="3" s="1"/>
  <c r="Y27" i="3" s="1"/>
  <c r="Y28" i="3" s="1"/>
  <c r="Y29" i="3" s="1"/>
  <c r="Y30" i="3" s="1"/>
  <c r="Y31" i="3" s="1"/>
  <c r="Y32" i="3" s="1"/>
  <c r="Y33" i="3" s="1"/>
  <c r="Y34" i="3" s="1"/>
  <c r="Y35" i="3" s="1"/>
  <c r="Y36" i="3" s="1"/>
  <c r="Y37" i="3" s="1"/>
  <c r="Y38" i="3" s="1"/>
  <c r="Y39" i="3" s="1"/>
  <c r="O46" i="3"/>
  <c r="O45" i="3"/>
  <c r="X3" i="3"/>
  <c r="Z3" i="3" s="1"/>
  <c r="X4" i="3"/>
  <c r="Z4" i="3" s="1"/>
  <c r="E39" i="3"/>
  <c r="E36" i="3"/>
  <c r="E31" i="3"/>
  <c r="E28" i="3"/>
  <c r="E22" i="3"/>
  <c r="F9" i="3"/>
  <c r="E6" i="3"/>
  <c r="E4" i="3"/>
  <c r="E37" i="3"/>
  <c r="E29" i="3"/>
  <c r="E2" i="3"/>
  <c r="O2" i="3"/>
  <c r="P2" i="3" s="1"/>
  <c r="P3" i="3" s="1"/>
  <c r="P4" i="3" s="1"/>
  <c r="P5" i="3" s="1"/>
  <c r="P6" i="3" s="1"/>
  <c r="P7" i="3" s="1"/>
  <c r="P8" i="3" s="1"/>
  <c r="P9" i="3" s="1"/>
  <c r="P10" i="3" s="1"/>
  <c r="P11" i="3" s="1"/>
  <c r="P12" i="3" s="1"/>
  <c r="P13" i="3" s="1"/>
  <c r="P14" i="3" s="1"/>
  <c r="P15" i="3" s="1"/>
  <c r="P16" i="3" s="1"/>
  <c r="P17" i="3" s="1"/>
  <c r="P18" i="3" s="1"/>
  <c r="P19" i="3" s="1"/>
  <c r="P20" i="3" s="1"/>
  <c r="P21" i="3" s="1"/>
  <c r="P22" i="3" s="1"/>
  <c r="P23" i="3" s="1"/>
  <c r="P24" i="3" s="1"/>
  <c r="P25" i="3" s="1"/>
  <c r="P26" i="3" s="1"/>
  <c r="P27" i="3" s="1"/>
  <c r="P28" i="3" s="1"/>
  <c r="P29" i="3" s="1"/>
  <c r="P30" i="3" s="1"/>
  <c r="P31" i="3" s="1"/>
  <c r="P32" i="3" s="1"/>
  <c r="P33" i="3" s="1"/>
  <c r="P34" i="3" s="1"/>
  <c r="P35" i="3" s="1"/>
  <c r="P36" i="3" s="1"/>
  <c r="P37" i="3" s="1"/>
  <c r="P38" i="3" s="1"/>
  <c r="P39" i="3" s="1"/>
  <c r="E3" i="3"/>
  <c r="E112" i="3"/>
  <c r="E108" i="3"/>
  <c r="C249" i="3"/>
  <c r="E144" i="3"/>
  <c r="E140" i="3"/>
  <c r="E136" i="3"/>
  <c r="E132" i="3"/>
  <c r="E128" i="3"/>
  <c r="E124" i="3"/>
  <c r="E120" i="3"/>
  <c r="E116" i="3"/>
  <c r="D249" i="3"/>
  <c r="C250" i="3"/>
  <c r="E106" i="3"/>
  <c r="O106" i="3"/>
  <c r="P106" i="3" s="1"/>
  <c r="E141" i="3"/>
  <c r="E137" i="3"/>
  <c r="E133" i="3"/>
  <c r="E107" i="3"/>
  <c r="D250" i="3"/>
  <c r="C251" i="3"/>
  <c r="H3" i="3"/>
  <c r="E142" i="3"/>
  <c r="E138" i="3"/>
  <c r="E134" i="3"/>
  <c r="E130" i="3"/>
  <c r="E126" i="3"/>
  <c r="E122" i="3"/>
  <c r="E118" i="3"/>
  <c r="E114" i="3"/>
  <c r="E110" i="3"/>
  <c r="D251" i="3"/>
  <c r="F106" i="3"/>
  <c r="F98" i="3"/>
  <c r="F111" i="3"/>
  <c r="F103" i="3"/>
  <c r="F95" i="3"/>
  <c r="F250" i="3" s="1"/>
  <c r="G3" i="3"/>
  <c r="E2" i="2"/>
  <c r="F2" i="2"/>
  <c r="Q47" i="3" l="1"/>
  <c r="R47" i="3"/>
  <c r="F4" i="2"/>
  <c r="E4" i="2"/>
  <c r="F5" i="2"/>
  <c r="E5" i="2"/>
  <c r="F9" i="2"/>
  <c r="E9" i="2"/>
  <c r="F11" i="2"/>
  <c r="E11" i="2"/>
  <c r="F15" i="2"/>
  <c r="E15" i="2"/>
  <c r="F17" i="2"/>
  <c r="E17" i="2"/>
  <c r="F18" i="2"/>
  <c r="E18" i="2"/>
  <c r="F19" i="2"/>
  <c r="E19" i="2"/>
  <c r="F20" i="2"/>
  <c r="E20" i="2"/>
  <c r="F23" i="2"/>
  <c r="E23" i="2"/>
  <c r="F25" i="2"/>
  <c r="E25" i="2"/>
  <c r="F26" i="2"/>
  <c r="E26" i="2"/>
  <c r="F28" i="2"/>
  <c r="E28" i="2"/>
  <c r="F30" i="2"/>
  <c r="E30" i="2"/>
  <c r="F32" i="2"/>
  <c r="E32" i="2"/>
  <c r="F33" i="2"/>
  <c r="E33" i="2"/>
  <c r="F34" i="2"/>
  <c r="E34" i="2"/>
  <c r="F35" i="2"/>
  <c r="E35" i="2"/>
  <c r="F38" i="2"/>
  <c r="E38" i="2"/>
  <c r="F40" i="2"/>
  <c r="E40" i="2"/>
  <c r="F42" i="2"/>
  <c r="E42" i="2"/>
  <c r="F44" i="2"/>
  <c r="E44" i="2"/>
  <c r="F46" i="2"/>
  <c r="E46" i="2"/>
  <c r="F47" i="2"/>
  <c r="E47" i="2"/>
  <c r="F48" i="2"/>
  <c r="E48" i="2"/>
  <c r="F51" i="2"/>
  <c r="E51" i="2"/>
  <c r="F53" i="2"/>
  <c r="E53" i="2"/>
  <c r="F55" i="2"/>
  <c r="E55" i="2"/>
  <c r="F56" i="2"/>
  <c r="E56" i="2"/>
  <c r="F59" i="2"/>
  <c r="E59" i="2"/>
  <c r="F62" i="2"/>
  <c r="E62" i="2"/>
  <c r="F66" i="2"/>
  <c r="E66" i="2"/>
  <c r="F70" i="2"/>
  <c r="E70" i="2"/>
  <c r="F73" i="2"/>
  <c r="E73" i="2"/>
  <c r="F74" i="2"/>
  <c r="E74" i="2"/>
  <c r="F75" i="2"/>
  <c r="E75" i="2"/>
  <c r="F77" i="2"/>
  <c r="E77" i="2"/>
  <c r="F78" i="2"/>
  <c r="E78" i="2"/>
  <c r="F80" i="2"/>
  <c r="E80" i="2"/>
  <c r="F82" i="2"/>
  <c r="E82" i="2"/>
  <c r="F84" i="2"/>
  <c r="E84" i="2"/>
  <c r="F86" i="2"/>
  <c r="E86" i="2"/>
  <c r="F87" i="2"/>
  <c r="E87" i="2"/>
  <c r="F89" i="2"/>
  <c r="E89" i="2"/>
  <c r="F91" i="2"/>
  <c r="E91" i="2"/>
  <c r="F93" i="2"/>
  <c r="E93" i="2"/>
  <c r="F94" i="2"/>
  <c r="E94" i="2"/>
  <c r="F96" i="2"/>
  <c r="E96" i="2"/>
  <c r="F98" i="2"/>
  <c r="E98" i="2"/>
  <c r="F99" i="2"/>
  <c r="E99" i="2"/>
  <c r="F101" i="2"/>
  <c r="E101" i="2"/>
  <c r="F102" i="2"/>
  <c r="E102" i="2"/>
  <c r="F104" i="2"/>
  <c r="E104" i="2"/>
  <c r="F106" i="2"/>
  <c r="E106" i="2"/>
  <c r="F108" i="2"/>
  <c r="E108" i="2"/>
  <c r="F109" i="2"/>
  <c r="E109" i="2"/>
  <c r="F110" i="2"/>
  <c r="E110" i="2"/>
  <c r="F112" i="2"/>
  <c r="E112" i="2"/>
  <c r="F113" i="2"/>
  <c r="E113" i="2"/>
  <c r="F114" i="2"/>
  <c r="E114" i="2"/>
  <c r="F115" i="2"/>
  <c r="E115" i="2"/>
  <c r="F116" i="2"/>
  <c r="E116" i="2"/>
  <c r="F117" i="2"/>
  <c r="E117" i="2"/>
  <c r="F120" i="2"/>
  <c r="E120" i="2"/>
  <c r="F121" i="2"/>
  <c r="E121" i="2"/>
  <c r="F123" i="2"/>
  <c r="E123" i="2"/>
  <c r="F124" i="2"/>
  <c r="E124" i="2"/>
  <c r="F125" i="2"/>
  <c r="E125" i="2"/>
  <c r="F127" i="2"/>
  <c r="E127" i="2"/>
  <c r="F129" i="2"/>
  <c r="E129" i="2"/>
  <c r="F131" i="2"/>
  <c r="E131" i="2"/>
  <c r="F132" i="2"/>
  <c r="E132" i="2"/>
  <c r="F135" i="2"/>
  <c r="E135" i="2"/>
  <c r="F136" i="2"/>
  <c r="E136" i="2"/>
  <c r="F137" i="2"/>
  <c r="E137" i="2"/>
  <c r="F138" i="2"/>
  <c r="E138" i="2"/>
  <c r="F140" i="2"/>
  <c r="E140" i="2"/>
  <c r="F142" i="2"/>
  <c r="E142" i="2"/>
  <c r="F143" i="2"/>
  <c r="E143" i="2"/>
  <c r="F145" i="2"/>
  <c r="E145" i="2"/>
  <c r="F147" i="2"/>
  <c r="E147" i="2"/>
  <c r="F149" i="2"/>
  <c r="E149" i="2"/>
  <c r="F152" i="2"/>
  <c r="E152" i="2"/>
  <c r="F153" i="2"/>
  <c r="E153" i="2"/>
  <c r="F154" i="2"/>
  <c r="E154" i="2"/>
  <c r="F155" i="2"/>
  <c r="E155" i="2"/>
  <c r="F157" i="2"/>
  <c r="E157" i="2"/>
  <c r="F159" i="2"/>
  <c r="E159" i="2"/>
  <c r="F162" i="2"/>
  <c r="E162" i="2"/>
  <c r="F163" i="2"/>
  <c r="E163" i="2"/>
  <c r="F166" i="2"/>
  <c r="E166" i="2"/>
  <c r="F167" i="2"/>
  <c r="E167" i="2"/>
  <c r="F168" i="2"/>
  <c r="E168" i="2"/>
  <c r="F170" i="2"/>
  <c r="E170" i="2"/>
  <c r="F172" i="2"/>
  <c r="E172" i="2"/>
  <c r="F175" i="2"/>
  <c r="E175" i="2"/>
  <c r="F176" i="2"/>
  <c r="E176" i="2"/>
  <c r="F177" i="2"/>
  <c r="E177" i="2"/>
  <c r="F178" i="2"/>
  <c r="E178" i="2"/>
  <c r="F179" i="2"/>
  <c r="E179" i="2"/>
  <c r="F180" i="2"/>
  <c r="E180" i="2"/>
  <c r="F182" i="2"/>
  <c r="E182" i="2"/>
  <c r="F184" i="2"/>
  <c r="E184" i="2"/>
  <c r="F186" i="2"/>
  <c r="E186" i="2"/>
  <c r="F187" i="2"/>
  <c r="E187" i="2"/>
  <c r="F188" i="2"/>
  <c r="E188" i="2"/>
  <c r="F191" i="2"/>
  <c r="E191" i="2"/>
  <c r="F192" i="2"/>
  <c r="E192" i="2"/>
  <c r="F193" i="2"/>
  <c r="E193" i="2"/>
  <c r="F195" i="2"/>
  <c r="E195" i="2"/>
  <c r="F197" i="2"/>
  <c r="E197" i="2"/>
  <c r="F199" i="2"/>
  <c r="E199" i="2"/>
  <c r="F201" i="2"/>
  <c r="E201" i="2"/>
  <c r="F202" i="2"/>
  <c r="E202" i="2"/>
  <c r="F204" i="2"/>
  <c r="E204" i="2"/>
  <c r="F206" i="2"/>
  <c r="E206" i="2"/>
  <c r="F208" i="2"/>
  <c r="E208" i="2"/>
  <c r="F211" i="2"/>
  <c r="E211" i="2"/>
  <c r="F215" i="2"/>
  <c r="E215" i="2"/>
  <c r="F217" i="2"/>
  <c r="E217" i="2"/>
  <c r="F218" i="2"/>
  <c r="E218" i="2"/>
  <c r="F220" i="2"/>
  <c r="E220" i="2"/>
  <c r="F221" i="2"/>
  <c r="E221" i="2"/>
  <c r="F222" i="2"/>
  <c r="E222" i="2"/>
  <c r="F224" i="2"/>
  <c r="E224" i="2"/>
  <c r="F226" i="2"/>
  <c r="E226" i="2"/>
  <c r="F227" i="2"/>
  <c r="E227" i="2"/>
  <c r="F228" i="2"/>
  <c r="E228" i="2"/>
  <c r="F231" i="2"/>
  <c r="E231" i="2"/>
  <c r="F232" i="2"/>
  <c r="E232" i="2"/>
  <c r="F233" i="2"/>
  <c r="E233" i="2"/>
  <c r="F235" i="2"/>
  <c r="E235" i="2"/>
  <c r="F236" i="2"/>
  <c r="E236" i="2"/>
  <c r="F237" i="2"/>
  <c r="E237" i="2"/>
  <c r="F238" i="2"/>
  <c r="E238" i="2"/>
  <c r="F240" i="2"/>
  <c r="E240" i="2"/>
  <c r="F242" i="2"/>
  <c r="E242" i="2"/>
  <c r="F243" i="2"/>
  <c r="E243" i="2"/>
  <c r="F244" i="2"/>
  <c r="E244" i="2"/>
  <c r="F246" i="2"/>
  <c r="E246" i="2"/>
  <c r="F247" i="2"/>
  <c r="E247" i="2"/>
  <c r="F249" i="2"/>
  <c r="E249" i="2"/>
  <c r="F253" i="2"/>
  <c r="E253" i="2"/>
  <c r="F255" i="2"/>
  <c r="E255" i="2"/>
  <c r="F259" i="2"/>
  <c r="E259" i="2"/>
  <c r="F260" i="2"/>
  <c r="E260" i="2"/>
  <c r="F262" i="2"/>
  <c r="E262" i="2"/>
  <c r="F265" i="2"/>
  <c r="E265" i="2"/>
  <c r="F267" i="2"/>
  <c r="E267" i="2"/>
  <c r="F269" i="2"/>
  <c r="E269" i="2"/>
  <c r="F271" i="2"/>
  <c r="E271" i="2"/>
  <c r="F272" i="2"/>
  <c r="E272" i="2"/>
  <c r="F273" i="2"/>
  <c r="E273" i="2"/>
  <c r="F274" i="2"/>
  <c r="E274" i="2"/>
  <c r="F276" i="2"/>
  <c r="E276" i="2"/>
  <c r="F277" i="2"/>
  <c r="E277" i="2"/>
  <c r="F279" i="2"/>
  <c r="E279" i="2"/>
  <c r="F281" i="2"/>
  <c r="E281" i="2"/>
  <c r="F283" i="2"/>
  <c r="E283" i="2"/>
  <c r="F285" i="2"/>
  <c r="E285" i="2"/>
  <c r="F286" i="2"/>
  <c r="E286" i="2"/>
  <c r="F289" i="2"/>
  <c r="E289" i="2"/>
  <c r="F291" i="2"/>
  <c r="E291" i="2"/>
  <c r="F294" i="2"/>
  <c r="E294" i="2"/>
  <c r="F297" i="2"/>
  <c r="E297" i="2"/>
  <c r="F298" i="2"/>
  <c r="E298" i="2"/>
  <c r="F299" i="2"/>
  <c r="E299" i="2"/>
  <c r="F300" i="2"/>
  <c r="E300" i="2"/>
  <c r="F302" i="2"/>
  <c r="E302" i="2"/>
  <c r="F305" i="2"/>
  <c r="E305" i="2"/>
  <c r="F306" i="2"/>
  <c r="E306" i="2"/>
  <c r="F308" i="2"/>
  <c r="E308" i="2"/>
  <c r="F309" i="2"/>
  <c r="E309" i="2"/>
  <c r="F310" i="2"/>
  <c r="E310" i="2"/>
  <c r="F311" i="2"/>
  <c r="E311" i="2"/>
  <c r="F312" i="2"/>
  <c r="E312" i="2"/>
  <c r="F313" i="2"/>
  <c r="E313" i="2"/>
  <c r="F314" i="2"/>
  <c r="E314" i="2"/>
  <c r="F316" i="2"/>
  <c r="E316" i="2"/>
  <c r="F317" i="2"/>
  <c r="E317" i="2"/>
  <c r="F318" i="2"/>
  <c r="E318" i="2"/>
  <c r="F319" i="2"/>
  <c r="E319" i="2"/>
  <c r="F320" i="2"/>
  <c r="E320" i="2"/>
  <c r="F321" i="2"/>
  <c r="E321" i="2"/>
  <c r="F322" i="2"/>
  <c r="E322" i="2"/>
  <c r="F324" i="2"/>
  <c r="E324" i="2"/>
  <c r="F326" i="2"/>
  <c r="E326" i="2"/>
  <c r="F328" i="2"/>
  <c r="E328" i="2"/>
  <c r="F329" i="2"/>
  <c r="E329" i="2"/>
  <c r="F330" i="2"/>
  <c r="E330" i="2"/>
  <c r="F331" i="2"/>
  <c r="E331" i="2"/>
  <c r="F332" i="2"/>
  <c r="E332" i="2"/>
  <c r="F334" i="2"/>
  <c r="E334" i="2"/>
  <c r="F336" i="2"/>
  <c r="E336" i="2"/>
  <c r="F337" i="2"/>
  <c r="E337" i="2"/>
  <c r="F339" i="2"/>
  <c r="E339" i="2"/>
  <c r="F341" i="2"/>
  <c r="E341" i="2"/>
  <c r="F343" i="2"/>
  <c r="E343" i="2"/>
  <c r="F344" i="2"/>
  <c r="E344" i="2"/>
  <c r="F345" i="2"/>
  <c r="E345" i="2"/>
  <c r="F347" i="2"/>
  <c r="E347" i="2"/>
  <c r="F348" i="2"/>
  <c r="E348" i="2"/>
  <c r="F349" i="2"/>
  <c r="E349" i="2"/>
  <c r="F350" i="2"/>
  <c r="E350" i="2"/>
  <c r="F351" i="2"/>
  <c r="E351" i="2"/>
  <c r="F352" i="2"/>
  <c r="E352" i="2"/>
  <c r="F353" i="2"/>
  <c r="E353" i="2"/>
  <c r="F354" i="2"/>
  <c r="E354" i="2"/>
  <c r="F356" i="2"/>
  <c r="E356" i="2"/>
  <c r="F357" i="2"/>
  <c r="E357" i="2"/>
  <c r="F359" i="2"/>
  <c r="E359" i="2"/>
  <c r="F360" i="2"/>
  <c r="E360" i="2"/>
  <c r="F361" i="2"/>
  <c r="E361" i="2"/>
  <c r="F363" i="2"/>
  <c r="E363" i="2"/>
  <c r="F364" i="2"/>
  <c r="E364" i="2"/>
  <c r="F366" i="2"/>
  <c r="E366" i="2"/>
  <c r="F3" i="2"/>
  <c r="E3" i="2"/>
  <c r="R46" i="3"/>
  <c r="R45" i="3"/>
  <c r="AB3" i="3"/>
  <c r="J3" i="3"/>
  <c r="AB4" i="3"/>
  <c r="AB5" i="3" s="1"/>
  <c r="AB6" i="3" s="1"/>
  <c r="AB7" i="3" s="1"/>
  <c r="AB8" i="3" s="1"/>
  <c r="AB9" i="3" s="1"/>
  <c r="AB10" i="3" s="1"/>
  <c r="AB11" i="3" s="1"/>
  <c r="AB12" i="3" s="1"/>
  <c r="AB13" i="3" s="1"/>
  <c r="AB14" i="3" s="1"/>
  <c r="AB15" i="3" s="1"/>
  <c r="AB16" i="3" s="1"/>
  <c r="AB17" i="3" s="1"/>
  <c r="AB18" i="3" s="1"/>
  <c r="AB19" i="3" s="1"/>
  <c r="AB20" i="3" s="1"/>
  <c r="AB21" i="3" s="1"/>
  <c r="AB22" i="3" s="1"/>
  <c r="AB23" i="3" s="1"/>
  <c r="AB24" i="3" s="1"/>
  <c r="AB25" i="3" s="1"/>
  <c r="AB26" i="3" s="1"/>
  <c r="AB27" i="3" s="1"/>
  <c r="AB28" i="3" s="1"/>
  <c r="AB29" i="3" s="1"/>
  <c r="AB30" i="3" s="1"/>
  <c r="AB31" i="3" s="1"/>
  <c r="AB32" i="3" s="1"/>
  <c r="AB33" i="3" s="1"/>
  <c r="AB34" i="3" s="1"/>
  <c r="AB35" i="3" s="1"/>
  <c r="AB36" i="3" s="1"/>
  <c r="AB37" i="3" s="1"/>
  <c r="AB38" i="3" s="1"/>
  <c r="AB39" i="3" s="1"/>
  <c r="Q106" i="3"/>
  <c r="X5" i="3"/>
  <c r="O3" i="3"/>
  <c r="K3" i="3"/>
  <c r="Q46" i="3"/>
  <c r="Q45" i="3"/>
  <c r="AA3" i="3"/>
  <c r="AC3" i="3" s="1"/>
  <c r="R106" i="3"/>
  <c r="O107" i="3"/>
  <c r="I3" i="3"/>
  <c r="P107" i="3"/>
  <c r="P108" i="3" s="1"/>
  <c r="P109" i="3" s="1"/>
  <c r="P110" i="3" s="1"/>
  <c r="P111" i="3" s="1"/>
  <c r="P112" i="3" s="1"/>
  <c r="P113" i="3" s="1"/>
  <c r="P114" i="3" s="1"/>
  <c r="P115" i="3" s="1"/>
  <c r="P116" i="3" s="1"/>
  <c r="P117" i="3" s="1"/>
  <c r="P118" i="3" s="1"/>
  <c r="P119" i="3" s="1"/>
  <c r="P120" i="3" s="1"/>
  <c r="P121" i="3" s="1"/>
  <c r="P122" i="3" s="1"/>
  <c r="P123" i="3" s="1"/>
  <c r="P124" i="3" s="1"/>
  <c r="P125" i="3" s="1"/>
  <c r="P126" i="3" s="1"/>
  <c r="P127" i="3" s="1"/>
  <c r="P128" i="3" s="1"/>
  <c r="P129" i="3" s="1"/>
  <c r="P130" i="3" s="1"/>
  <c r="P131" i="3" s="1"/>
  <c r="P132" i="3" s="1"/>
  <c r="P133" i="3" s="1"/>
  <c r="P134" i="3" s="1"/>
  <c r="P135" i="3" s="1"/>
  <c r="P136" i="3" s="1"/>
  <c r="P137" i="3" s="1"/>
  <c r="P138" i="3" s="1"/>
  <c r="P139" i="3" s="1"/>
  <c r="P140" i="3" s="1"/>
  <c r="P141" i="3" s="1"/>
  <c r="P142" i="3" s="1"/>
  <c r="P143" i="3" s="1"/>
  <c r="P144" i="3" s="1"/>
  <c r="E250" i="3"/>
  <c r="E249" i="3"/>
  <c r="E251" i="3"/>
  <c r="F251" i="3"/>
  <c r="G4" i="3"/>
  <c r="F249" i="3"/>
  <c r="H4" i="3"/>
  <c r="H5" i="3" s="1"/>
  <c r="H6" i="3" s="1"/>
  <c r="H7" i="3" s="1"/>
  <c r="H8" i="3" s="1"/>
  <c r="H9" i="3" s="1"/>
  <c r="H10" i="3" s="1"/>
  <c r="H11" i="3" s="1"/>
  <c r="H12" i="3" s="1"/>
  <c r="H13" i="3" s="1"/>
  <c r="H14" i="3" s="1"/>
  <c r="H15" i="3" s="1"/>
  <c r="H16" i="3" s="1"/>
  <c r="H17" i="3" s="1"/>
  <c r="H18" i="3" s="1"/>
  <c r="H19" i="3" s="1"/>
  <c r="H20" i="3" s="1"/>
  <c r="H21" i="3" s="1"/>
  <c r="H22" i="3" s="1"/>
  <c r="H23" i="3" s="1"/>
  <c r="H24" i="3" s="1"/>
  <c r="H25" i="3" s="1"/>
  <c r="H26" i="3" s="1"/>
  <c r="H27" i="3" s="1"/>
  <c r="H28" i="3" s="1"/>
  <c r="H29" i="3" s="1"/>
  <c r="H30" i="3" s="1"/>
  <c r="H31" i="3" s="1"/>
  <c r="H32" i="3" s="1"/>
  <c r="H33" i="3" s="1"/>
  <c r="H34" i="3" s="1"/>
  <c r="H35" i="3" s="1"/>
  <c r="H36" i="3" s="1"/>
  <c r="H37" i="3" s="1"/>
  <c r="H38" i="3" s="1"/>
  <c r="H39" i="3" s="1"/>
  <c r="H40" i="3" s="1"/>
  <c r="H41" i="3" s="1"/>
  <c r="H42" i="3" s="1"/>
  <c r="H43" i="3" s="1"/>
  <c r="H44" i="3" s="1"/>
  <c r="H45" i="3" s="1"/>
  <c r="H46" i="3" s="1"/>
  <c r="H47" i="3" s="1"/>
  <c r="H48" i="3" s="1"/>
  <c r="H49" i="3" s="1"/>
  <c r="H50" i="3" s="1"/>
  <c r="H51" i="3" s="1"/>
  <c r="H52" i="3" s="1"/>
  <c r="H53" i="3" s="1"/>
  <c r="H54" i="3" s="1"/>
  <c r="H55" i="3" s="1"/>
  <c r="H56" i="3" s="1"/>
  <c r="H57" i="3" s="1"/>
  <c r="H58" i="3" s="1"/>
  <c r="H59" i="3" s="1"/>
  <c r="H60" i="3" s="1"/>
  <c r="H61" i="3" s="1"/>
  <c r="H62" i="3" s="1"/>
  <c r="H63" i="3" s="1"/>
  <c r="H64" i="3" s="1"/>
  <c r="H65" i="3" s="1"/>
  <c r="H66" i="3" s="1"/>
  <c r="H67" i="3" s="1"/>
  <c r="H68" i="3" s="1"/>
  <c r="H69" i="3" s="1"/>
  <c r="H70" i="3" s="1"/>
  <c r="H71" i="3" s="1"/>
  <c r="H72" i="3" s="1"/>
  <c r="H73" i="3" s="1"/>
  <c r="H74" i="3" s="1"/>
  <c r="H75" i="3" s="1"/>
  <c r="H76" i="3" s="1"/>
  <c r="H77" i="3" s="1"/>
  <c r="H78" i="3" s="1"/>
  <c r="H79" i="3" s="1"/>
  <c r="H80" i="3" s="1"/>
  <c r="H81" i="3" s="1"/>
  <c r="H82" i="3" s="1"/>
  <c r="H83" i="3" s="1"/>
  <c r="H84" i="3" s="1"/>
  <c r="H85" i="3" s="1"/>
  <c r="H86" i="3" s="1"/>
  <c r="H87" i="3" s="1"/>
  <c r="H88" i="3" s="1"/>
  <c r="H89" i="3" s="1"/>
  <c r="H90" i="3" s="1"/>
  <c r="H91" i="3" s="1"/>
  <c r="H92" i="3" s="1"/>
  <c r="H93" i="3" s="1"/>
  <c r="H94" i="3" s="1"/>
  <c r="H95" i="3" s="1"/>
  <c r="H96" i="3" s="1"/>
  <c r="H97" i="3" s="1"/>
  <c r="H98" i="3" s="1"/>
  <c r="H99" i="3" s="1"/>
  <c r="H100" i="3" s="1"/>
  <c r="H101" i="3" s="1"/>
  <c r="H102" i="3" s="1"/>
  <c r="H103" i="3" s="1"/>
  <c r="H104" i="3" s="1"/>
  <c r="H105" i="3" s="1"/>
  <c r="H106" i="3" s="1"/>
  <c r="H107" i="3" s="1"/>
  <c r="H108" i="3" s="1"/>
  <c r="H109" i="3" s="1"/>
  <c r="H110" i="3" s="1"/>
  <c r="H111" i="3" s="1"/>
  <c r="H112" i="3" s="1"/>
  <c r="H113" i="3" s="1"/>
  <c r="H114" i="3" s="1"/>
  <c r="H115" i="3" s="1"/>
  <c r="H116" i="3" s="1"/>
  <c r="H117" i="3" s="1"/>
  <c r="H118" i="3" s="1"/>
  <c r="H119" i="3" s="1"/>
  <c r="H120" i="3" s="1"/>
  <c r="H121" i="3" s="1"/>
  <c r="H122" i="3" s="1"/>
  <c r="H123" i="3" s="1"/>
  <c r="H124" i="3" s="1"/>
  <c r="H125" i="3" s="1"/>
  <c r="H126" i="3" s="1"/>
  <c r="H127" i="3" s="1"/>
  <c r="H128" i="3" s="1"/>
  <c r="H129" i="3" s="1"/>
  <c r="H130" i="3" s="1"/>
  <c r="H131" i="3" s="1"/>
  <c r="H132" i="3" s="1"/>
  <c r="H133" i="3" s="1"/>
  <c r="H134" i="3" s="1"/>
  <c r="H135" i="3" s="1"/>
  <c r="H136" i="3" s="1"/>
  <c r="H137" i="3" s="1"/>
  <c r="H138" i="3" s="1"/>
  <c r="H139" i="3" s="1"/>
  <c r="H140" i="3" s="1"/>
  <c r="H141" i="3" s="1"/>
  <c r="H142" i="3" s="1"/>
  <c r="H143" i="3" s="1"/>
  <c r="H144" i="3" s="1"/>
  <c r="H145" i="3" s="1"/>
  <c r="H146" i="3" s="1"/>
  <c r="H147" i="3" s="1"/>
  <c r="H148" i="3" s="1"/>
  <c r="H149" i="3" s="1"/>
  <c r="H150" i="3" s="1"/>
  <c r="H151" i="3" s="1"/>
  <c r="H152" i="3" s="1"/>
  <c r="H153" i="3" s="1"/>
  <c r="H154" i="3" s="1"/>
  <c r="H155" i="3" s="1"/>
  <c r="H156" i="3" s="1"/>
  <c r="H157" i="3" s="1"/>
  <c r="H158" i="3" s="1"/>
  <c r="H159" i="3" s="1"/>
  <c r="H160" i="3" s="1"/>
  <c r="H161" i="3" s="1"/>
  <c r="H162" i="3" s="1"/>
  <c r="H163" i="3" s="1"/>
  <c r="H164" i="3" s="1"/>
  <c r="H165" i="3" s="1"/>
  <c r="H166" i="3" s="1"/>
  <c r="H167" i="3" s="1"/>
  <c r="H168" i="3" s="1"/>
  <c r="H169" i="3" s="1"/>
  <c r="H170" i="3" s="1"/>
  <c r="H171" i="3" s="1"/>
  <c r="H172" i="3" s="1"/>
  <c r="H173" i="3" s="1"/>
  <c r="H174" i="3" s="1"/>
  <c r="H175" i="3" s="1"/>
  <c r="H176" i="3" s="1"/>
  <c r="H177" i="3" s="1"/>
  <c r="H178" i="3" s="1"/>
  <c r="H179" i="3" s="1"/>
  <c r="H180" i="3" s="1"/>
  <c r="H181" i="3" s="1"/>
  <c r="H182" i="3" s="1"/>
  <c r="H183" i="3" s="1"/>
  <c r="H184" i="3" s="1"/>
  <c r="H185" i="3" s="1"/>
  <c r="H186" i="3" s="1"/>
  <c r="H187" i="3" s="1"/>
  <c r="H188" i="3" s="1"/>
  <c r="H189" i="3" s="1"/>
  <c r="H190" i="3" s="1"/>
  <c r="H191" i="3" s="1"/>
  <c r="H192" i="3" s="1"/>
  <c r="H193" i="3" s="1"/>
  <c r="H194" i="3" s="1"/>
  <c r="H195" i="3" s="1"/>
  <c r="H196" i="3" s="1"/>
  <c r="H197" i="3" s="1"/>
  <c r="H198" i="3" s="1"/>
  <c r="H199" i="3" s="1"/>
  <c r="H200" i="3" s="1"/>
  <c r="H201" i="3" s="1"/>
  <c r="H202" i="3" s="1"/>
  <c r="H203" i="3" s="1"/>
  <c r="H204" i="3" s="1"/>
  <c r="H205" i="3" s="1"/>
  <c r="H206" i="3" s="1"/>
  <c r="H207" i="3" s="1"/>
  <c r="H208" i="3" s="1"/>
  <c r="H209" i="3" s="1"/>
  <c r="H210" i="3" s="1"/>
  <c r="H211" i="3" s="1"/>
  <c r="H212" i="3" s="1"/>
  <c r="H213" i="3" s="1"/>
  <c r="H214" i="3" s="1"/>
  <c r="H215" i="3" s="1"/>
  <c r="H216" i="3" s="1"/>
  <c r="H217" i="3" s="1"/>
  <c r="H218" i="3" s="1"/>
  <c r="Q2" i="3"/>
  <c r="R2" i="3" s="1"/>
  <c r="R3" i="3" s="1"/>
  <c r="L3" i="3" l="1"/>
  <c r="R4" i="3"/>
  <c r="K4" i="3"/>
  <c r="AA4" i="3"/>
  <c r="Z5" i="3"/>
  <c r="X6" i="3"/>
  <c r="Q3" i="3"/>
  <c r="O4" i="3"/>
  <c r="J4" i="3"/>
  <c r="S2" i="3"/>
  <c r="S3" i="3" s="1"/>
  <c r="T3" i="3" s="1"/>
  <c r="I4" i="3"/>
  <c r="G5" i="3"/>
  <c r="H250" i="3"/>
  <c r="H249" i="3"/>
  <c r="R107" i="3"/>
  <c r="R108" i="3" s="1"/>
  <c r="Q107" i="3"/>
  <c r="O108" i="3"/>
  <c r="H251" i="3"/>
  <c r="S223" i="3" l="1"/>
  <c r="T223" i="3" s="1"/>
  <c r="J223" i="3"/>
  <c r="Q4" i="3"/>
  <c r="O5" i="3"/>
  <c r="AC4" i="3"/>
  <c r="AA5" i="3"/>
  <c r="J5" i="3"/>
  <c r="L4" i="3"/>
  <c r="R5" i="3"/>
  <c r="Z6" i="3"/>
  <c r="X7" i="3"/>
  <c r="K5" i="3"/>
  <c r="S4" i="3"/>
  <c r="T4" i="3" s="1"/>
  <c r="T2" i="3"/>
  <c r="G6" i="3"/>
  <c r="I5" i="3"/>
  <c r="Q108" i="3"/>
  <c r="O109" i="3"/>
  <c r="R109" i="3"/>
  <c r="L223" i="3" l="1"/>
  <c r="J224" i="3"/>
  <c r="I223" i="3"/>
  <c r="S224" i="3"/>
  <c r="T224" i="3" s="1"/>
  <c r="K6" i="3"/>
  <c r="R6" i="3"/>
  <c r="AC5" i="3"/>
  <c r="AA6" i="3"/>
  <c r="L5" i="3"/>
  <c r="J6" i="3"/>
  <c r="Z7" i="3"/>
  <c r="X8" i="3"/>
  <c r="Q5" i="3"/>
  <c r="O6" i="3"/>
  <c r="S5" i="3"/>
  <c r="Q109" i="3"/>
  <c r="O110" i="3"/>
  <c r="G7" i="3"/>
  <c r="I6" i="3"/>
  <c r="R110" i="3"/>
  <c r="I224" i="3" l="1"/>
  <c r="S225" i="3"/>
  <c r="T225" i="3" s="1"/>
  <c r="L224" i="3"/>
  <c r="J225" i="3"/>
  <c r="R7" i="3"/>
  <c r="K7" i="3"/>
  <c r="Z8" i="3"/>
  <c r="X9" i="3"/>
  <c r="AC6" i="3"/>
  <c r="AA7" i="3"/>
  <c r="Q6" i="3"/>
  <c r="O7" i="3"/>
  <c r="J7" i="3"/>
  <c r="L6" i="3"/>
  <c r="S6" i="3"/>
  <c r="T5" i="3"/>
  <c r="G8" i="3"/>
  <c r="I7" i="3"/>
  <c r="O111" i="3"/>
  <c r="Q110" i="3"/>
  <c r="R111" i="3"/>
  <c r="L225" i="3" l="1"/>
  <c r="J226" i="3"/>
  <c r="I225" i="3"/>
  <c r="S226" i="3"/>
  <c r="T226" i="3" s="1"/>
  <c r="L7" i="3"/>
  <c r="J8" i="3"/>
  <c r="K8" i="3"/>
  <c r="K9" i="3" s="1"/>
  <c r="K10" i="3" s="1"/>
  <c r="K11" i="3" s="1"/>
  <c r="K12" i="3" s="1"/>
  <c r="K13" i="3" s="1"/>
  <c r="K14" i="3" s="1"/>
  <c r="K15" i="3" s="1"/>
  <c r="K16" i="3" s="1"/>
  <c r="K17" i="3" s="1"/>
  <c r="K18" i="3" s="1"/>
  <c r="K19" i="3" s="1"/>
  <c r="K20" i="3" s="1"/>
  <c r="K21" i="3" s="1"/>
  <c r="K22" i="3" s="1"/>
  <c r="K23" i="3" s="1"/>
  <c r="K24" i="3" s="1"/>
  <c r="K25" i="3" s="1"/>
  <c r="K26" i="3" s="1"/>
  <c r="K27" i="3" s="1"/>
  <c r="K28" i="3" s="1"/>
  <c r="K29" i="3" s="1"/>
  <c r="K30" i="3" s="1"/>
  <c r="K31" i="3" s="1"/>
  <c r="K32" i="3" s="1"/>
  <c r="K33" i="3" s="1"/>
  <c r="K34" i="3" s="1"/>
  <c r="K35" i="3" s="1"/>
  <c r="K36" i="3" s="1"/>
  <c r="K37" i="3" s="1"/>
  <c r="K38" i="3" s="1"/>
  <c r="K39" i="3" s="1"/>
  <c r="K40" i="3" s="1"/>
  <c r="K41" i="3" s="1"/>
  <c r="K42" i="3" s="1"/>
  <c r="K43" i="3" s="1"/>
  <c r="K44" i="3" s="1"/>
  <c r="K45" i="3" s="1"/>
  <c r="K46" i="3" s="1"/>
  <c r="K47" i="3" s="1"/>
  <c r="K48" i="3" s="1"/>
  <c r="K49" i="3" s="1"/>
  <c r="K50" i="3" s="1"/>
  <c r="K51" i="3" s="1"/>
  <c r="K52" i="3" s="1"/>
  <c r="K53" i="3" s="1"/>
  <c r="K54" i="3" s="1"/>
  <c r="K55" i="3" s="1"/>
  <c r="K56" i="3" s="1"/>
  <c r="K57" i="3" s="1"/>
  <c r="K58" i="3" s="1"/>
  <c r="K59" i="3" s="1"/>
  <c r="K60" i="3" s="1"/>
  <c r="K61" i="3" s="1"/>
  <c r="K62" i="3" s="1"/>
  <c r="K63" i="3" s="1"/>
  <c r="K64" i="3" s="1"/>
  <c r="K65" i="3" s="1"/>
  <c r="K66" i="3" s="1"/>
  <c r="K67" i="3" s="1"/>
  <c r="K68" i="3" s="1"/>
  <c r="K69" i="3" s="1"/>
  <c r="K70" i="3" s="1"/>
  <c r="K71" i="3" s="1"/>
  <c r="K72" i="3" s="1"/>
  <c r="K73" i="3" s="1"/>
  <c r="K74" i="3" s="1"/>
  <c r="K75" i="3" s="1"/>
  <c r="K76" i="3" s="1"/>
  <c r="K77" i="3" s="1"/>
  <c r="K78" i="3" s="1"/>
  <c r="K79" i="3" s="1"/>
  <c r="K80" i="3" s="1"/>
  <c r="K81" i="3" s="1"/>
  <c r="K82" i="3" s="1"/>
  <c r="K83" i="3" s="1"/>
  <c r="K84" i="3" s="1"/>
  <c r="K85" i="3" s="1"/>
  <c r="K86" i="3" s="1"/>
  <c r="K87" i="3" s="1"/>
  <c r="K88" i="3" s="1"/>
  <c r="K89" i="3" s="1"/>
  <c r="K90" i="3" s="1"/>
  <c r="K91" i="3" s="1"/>
  <c r="K92" i="3" s="1"/>
  <c r="K93" i="3" s="1"/>
  <c r="K94" i="3" s="1"/>
  <c r="K95" i="3" s="1"/>
  <c r="K96" i="3" s="1"/>
  <c r="K97" i="3" s="1"/>
  <c r="K98" i="3" s="1"/>
  <c r="K99" i="3" s="1"/>
  <c r="K100" i="3" s="1"/>
  <c r="K101" i="3" s="1"/>
  <c r="K102" i="3" s="1"/>
  <c r="K103" i="3" s="1"/>
  <c r="K104" i="3" s="1"/>
  <c r="K105" i="3" s="1"/>
  <c r="K106" i="3" s="1"/>
  <c r="K107" i="3" s="1"/>
  <c r="K108" i="3" s="1"/>
  <c r="K109" i="3" s="1"/>
  <c r="K110" i="3" s="1"/>
  <c r="K111" i="3" s="1"/>
  <c r="K112" i="3" s="1"/>
  <c r="K113" i="3" s="1"/>
  <c r="K114" i="3" s="1"/>
  <c r="K115" i="3" s="1"/>
  <c r="K116" i="3" s="1"/>
  <c r="K117" i="3" s="1"/>
  <c r="K118" i="3" s="1"/>
  <c r="K119" i="3" s="1"/>
  <c r="K120" i="3" s="1"/>
  <c r="K121" i="3" s="1"/>
  <c r="K122" i="3" s="1"/>
  <c r="K123" i="3" s="1"/>
  <c r="K124" i="3" s="1"/>
  <c r="K125" i="3" s="1"/>
  <c r="K126" i="3" s="1"/>
  <c r="K127" i="3" s="1"/>
  <c r="K128" i="3" s="1"/>
  <c r="K129" i="3" s="1"/>
  <c r="K130" i="3" s="1"/>
  <c r="K131" i="3" s="1"/>
  <c r="K132" i="3" s="1"/>
  <c r="K133" i="3" s="1"/>
  <c r="K134" i="3" s="1"/>
  <c r="K135" i="3" s="1"/>
  <c r="K136" i="3" s="1"/>
  <c r="K137" i="3" s="1"/>
  <c r="K138" i="3" s="1"/>
  <c r="K139" i="3" s="1"/>
  <c r="K140" i="3" s="1"/>
  <c r="K141" i="3" s="1"/>
  <c r="K142" i="3" s="1"/>
  <c r="K143" i="3" s="1"/>
  <c r="K144" i="3" s="1"/>
  <c r="K145" i="3" s="1"/>
  <c r="K146" i="3" s="1"/>
  <c r="K147" i="3" s="1"/>
  <c r="K148" i="3" s="1"/>
  <c r="K149" i="3" s="1"/>
  <c r="K150" i="3" s="1"/>
  <c r="K151" i="3" s="1"/>
  <c r="K152" i="3" s="1"/>
  <c r="K153" i="3" s="1"/>
  <c r="K154" i="3" s="1"/>
  <c r="K155" i="3" s="1"/>
  <c r="K156" i="3" s="1"/>
  <c r="K157" i="3" s="1"/>
  <c r="K158" i="3" s="1"/>
  <c r="K159" i="3" s="1"/>
  <c r="K160" i="3" s="1"/>
  <c r="K161" i="3" s="1"/>
  <c r="K162" i="3" s="1"/>
  <c r="K163" i="3" s="1"/>
  <c r="K164" i="3" s="1"/>
  <c r="K165" i="3" s="1"/>
  <c r="K166" i="3" s="1"/>
  <c r="K167" i="3" s="1"/>
  <c r="K168" i="3" s="1"/>
  <c r="K169" i="3" s="1"/>
  <c r="K170" i="3" s="1"/>
  <c r="K171" i="3" s="1"/>
  <c r="K172" i="3" s="1"/>
  <c r="K173" i="3" s="1"/>
  <c r="K174" i="3" s="1"/>
  <c r="K175" i="3" s="1"/>
  <c r="K176" i="3" s="1"/>
  <c r="K177" i="3" s="1"/>
  <c r="K178" i="3" s="1"/>
  <c r="K179" i="3" s="1"/>
  <c r="K180" i="3" s="1"/>
  <c r="K181" i="3" s="1"/>
  <c r="K182" i="3" s="1"/>
  <c r="K183" i="3" s="1"/>
  <c r="K184" i="3" s="1"/>
  <c r="K185" i="3" s="1"/>
  <c r="K186" i="3" s="1"/>
  <c r="K187" i="3" s="1"/>
  <c r="K188" i="3" s="1"/>
  <c r="K189" i="3" s="1"/>
  <c r="K190" i="3" s="1"/>
  <c r="K191" i="3" s="1"/>
  <c r="K192" i="3" s="1"/>
  <c r="K193" i="3" s="1"/>
  <c r="K194" i="3" s="1"/>
  <c r="K195" i="3" s="1"/>
  <c r="K196" i="3" s="1"/>
  <c r="K197" i="3" s="1"/>
  <c r="K198" i="3" s="1"/>
  <c r="K199" i="3" s="1"/>
  <c r="K200" i="3" s="1"/>
  <c r="K201" i="3" s="1"/>
  <c r="K202" i="3" s="1"/>
  <c r="K203" i="3" s="1"/>
  <c r="K204" i="3" s="1"/>
  <c r="K205" i="3" s="1"/>
  <c r="K206" i="3" s="1"/>
  <c r="K207" i="3" s="1"/>
  <c r="K208" i="3" s="1"/>
  <c r="K209" i="3" s="1"/>
  <c r="K210" i="3" s="1"/>
  <c r="K211" i="3" s="1"/>
  <c r="K212" i="3" s="1"/>
  <c r="K213" i="3" s="1"/>
  <c r="K214" i="3" s="1"/>
  <c r="K215" i="3" s="1"/>
  <c r="K216" i="3" s="1"/>
  <c r="K217" i="3" s="1"/>
  <c r="K218" i="3" s="1"/>
  <c r="AC7" i="3"/>
  <c r="AA8" i="3"/>
  <c r="Q7" i="3"/>
  <c r="O8" i="3"/>
  <c r="Z9" i="3"/>
  <c r="X10" i="3"/>
  <c r="R8" i="3"/>
  <c r="S7" i="3"/>
  <c r="S8" i="3" s="1"/>
  <c r="S9" i="3" s="1"/>
  <c r="S10" i="3" s="1"/>
  <c r="S11" i="3" s="1"/>
  <c r="S12" i="3" s="1"/>
  <c r="S13" i="3" s="1"/>
  <c r="S14" i="3" s="1"/>
  <c r="S15" i="3" s="1"/>
  <c r="S16" i="3" s="1"/>
  <c r="S17" i="3" s="1"/>
  <c r="S18" i="3" s="1"/>
  <c r="S19" i="3" s="1"/>
  <c r="S20" i="3" s="1"/>
  <c r="S21" i="3" s="1"/>
  <c r="S22" i="3" s="1"/>
  <c r="S23" i="3" s="1"/>
  <c r="S24" i="3" s="1"/>
  <c r="S25" i="3" s="1"/>
  <c r="S26" i="3" s="1"/>
  <c r="S27" i="3" s="1"/>
  <c r="S28" i="3" s="1"/>
  <c r="S29" i="3" s="1"/>
  <c r="S30" i="3" s="1"/>
  <c r="S31" i="3" s="1"/>
  <c r="S32" i="3" s="1"/>
  <c r="S33" i="3" s="1"/>
  <c r="S34" i="3" s="1"/>
  <c r="S35" i="3" s="1"/>
  <c r="S36" i="3" s="1"/>
  <c r="S37" i="3" s="1"/>
  <c r="S38" i="3" s="1"/>
  <c r="S39" i="3" s="1"/>
  <c r="T6" i="3"/>
  <c r="R112" i="3"/>
  <c r="G9" i="3"/>
  <c r="I8" i="3"/>
  <c r="Q111" i="3"/>
  <c r="O112" i="3"/>
  <c r="I226" i="3" l="1"/>
  <c r="S227" i="3"/>
  <c r="T227" i="3" s="1"/>
  <c r="L226" i="3"/>
  <c r="J227" i="3"/>
  <c r="Z10" i="3"/>
  <c r="X11" i="3"/>
  <c r="AC8" i="3"/>
  <c r="AA9" i="3"/>
  <c r="J9" i="3"/>
  <c r="L8" i="3"/>
  <c r="T8" i="3"/>
  <c r="R9" i="3"/>
  <c r="Q8" i="3"/>
  <c r="O9" i="3"/>
  <c r="K250" i="3"/>
  <c r="K249" i="3"/>
  <c r="T7" i="3"/>
  <c r="K251" i="3"/>
  <c r="R113" i="3"/>
  <c r="G10" i="3"/>
  <c r="I9" i="3"/>
  <c r="Q112" i="3"/>
  <c r="O113" i="3"/>
  <c r="L227" i="3" l="1"/>
  <c r="J228" i="3"/>
  <c r="I227" i="3"/>
  <c r="S228" i="3"/>
  <c r="T228" i="3" s="1"/>
  <c r="Q9" i="3"/>
  <c r="O10" i="3"/>
  <c r="Z11" i="3"/>
  <c r="X12" i="3"/>
  <c r="L9" i="3"/>
  <c r="J10" i="3"/>
  <c r="T9" i="3"/>
  <c r="R10" i="3"/>
  <c r="AC9" i="3"/>
  <c r="AA10" i="3"/>
  <c r="R114" i="3"/>
  <c r="Q113" i="3"/>
  <c r="O114" i="3"/>
  <c r="G11" i="3"/>
  <c r="I10" i="3"/>
  <c r="I228" i="3" l="1"/>
  <c r="S229" i="3"/>
  <c r="T229" i="3" s="1"/>
  <c r="L228" i="3"/>
  <c r="J229" i="3"/>
  <c r="T10" i="3"/>
  <c r="R11" i="3"/>
  <c r="Z12" i="3"/>
  <c r="X13" i="3"/>
  <c r="AC10" i="3"/>
  <c r="AA11" i="3"/>
  <c r="J11" i="3"/>
  <c r="L10" i="3"/>
  <c r="Q10" i="3"/>
  <c r="O11" i="3"/>
  <c r="Q114" i="3"/>
  <c r="O115" i="3"/>
  <c r="G12" i="3"/>
  <c r="I11" i="3"/>
  <c r="R115" i="3"/>
  <c r="L229" i="3" l="1"/>
  <c r="J230" i="3"/>
  <c r="I229" i="3"/>
  <c r="S230" i="3"/>
  <c r="T230" i="3" s="1"/>
  <c r="Z13" i="3"/>
  <c r="X14" i="3"/>
  <c r="Q11" i="3"/>
  <c r="O12" i="3"/>
  <c r="AC11" i="3"/>
  <c r="AA12" i="3"/>
  <c r="T11" i="3"/>
  <c r="R12" i="3"/>
  <c r="J12" i="3"/>
  <c r="L11" i="3"/>
  <c r="R116" i="3"/>
  <c r="Q115" i="3"/>
  <c r="O116" i="3"/>
  <c r="G13" i="3"/>
  <c r="I12" i="3"/>
  <c r="I230" i="3" l="1"/>
  <c r="S231" i="3"/>
  <c r="T231" i="3" s="1"/>
  <c r="L230" i="3"/>
  <c r="J231" i="3"/>
  <c r="T12" i="3"/>
  <c r="R13" i="3"/>
  <c r="Q12" i="3"/>
  <c r="O13" i="3"/>
  <c r="L12" i="3"/>
  <c r="J13" i="3"/>
  <c r="AC12" i="3"/>
  <c r="AA13" i="3"/>
  <c r="Z14" i="3"/>
  <c r="X15" i="3"/>
  <c r="G14" i="3"/>
  <c r="I13" i="3"/>
  <c r="R117" i="3"/>
  <c r="Q116" i="3"/>
  <c r="O117" i="3"/>
  <c r="L231" i="3" l="1"/>
  <c r="J232" i="3"/>
  <c r="I231" i="3"/>
  <c r="S232" i="3"/>
  <c r="T232" i="3" s="1"/>
  <c r="AC13" i="3"/>
  <c r="AA14" i="3"/>
  <c r="Q13" i="3"/>
  <c r="O14" i="3"/>
  <c r="Z15" i="3"/>
  <c r="X16" i="3"/>
  <c r="J14" i="3"/>
  <c r="L13" i="3"/>
  <c r="T13" i="3"/>
  <c r="R14" i="3"/>
  <c r="I14" i="3"/>
  <c r="G15" i="3"/>
  <c r="Q117" i="3"/>
  <c r="O118" i="3"/>
  <c r="R118" i="3"/>
  <c r="I232" i="3" l="1"/>
  <c r="S233" i="3"/>
  <c r="T233" i="3" s="1"/>
  <c r="L232" i="3"/>
  <c r="J233" i="3"/>
  <c r="Q14" i="3"/>
  <c r="O15" i="3"/>
  <c r="T14" i="3"/>
  <c r="R15" i="3"/>
  <c r="Z16" i="3"/>
  <c r="X17" i="3"/>
  <c r="AC14" i="3"/>
  <c r="AA15" i="3"/>
  <c r="J15" i="3"/>
  <c r="L14" i="3"/>
  <c r="R119" i="3"/>
  <c r="I15" i="3"/>
  <c r="G16" i="3"/>
  <c r="Q118" i="3"/>
  <c r="O119" i="3"/>
  <c r="L233" i="3" l="1"/>
  <c r="J234" i="3"/>
  <c r="I233" i="3"/>
  <c r="S234" i="3"/>
  <c r="T234" i="3" s="1"/>
  <c r="J16" i="3"/>
  <c r="L15" i="3"/>
  <c r="Z17" i="3"/>
  <c r="X18" i="3"/>
  <c r="Q15" i="3"/>
  <c r="O16" i="3"/>
  <c r="AC15" i="3"/>
  <c r="AA16" i="3"/>
  <c r="T15" i="3"/>
  <c r="R16" i="3"/>
  <c r="Q119" i="3"/>
  <c r="O120" i="3"/>
  <c r="R120" i="3"/>
  <c r="I16" i="3"/>
  <c r="G17" i="3"/>
  <c r="I234" i="3" l="1"/>
  <c r="S235" i="3"/>
  <c r="T235" i="3" s="1"/>
  <c r="L234" i="3"/>
  <c r="J235" i="3"/>
  <c r="AC16" i="3"/>
  <c r="AA17" i="3"/>
  <c r="Z18" i="3"/>
  <c r="X19" i="3"/>
  <c r="J17" i="3"/>
  <c r="L16" i="3"/>
  <c r="T16" i="3"/>
  <c r="R17" i="3"/>
  <c r="Q16" i="3"/>
  <c r="O17" i="3"/>
  <c r="I17" i="3"/>
  <c r="G18" i="3"/>
  <c r="Q120" i="3"/>
  <c r="O121" i="3"/>
  <c r="R121" i="3"/>
  <c r="L235" i="3" l="1"/>
  <c r="J236" i="3"/>
  <c r="I235" i="3"/>
  <c r="S236" i="3"/>
  <c r="T236" i="3" s="1"/>
  <c r="T17" i="3"/>
  <c r="R18" i="3"/>
  <c r="Z19" i="3"/>
  <c r="X20" i="3"/>
  <c r="J18" i="3"/>
  <c r="L17" i="3"/>
  <c r="Q17" i="3"/>
  <c r="O18" i="3"/>
  <c r="AC17" i="3"/>
  <c r="AA18" i="3"/>
  <c r="R122" i="3"/>
  <c r="G19" i="3"/>
  <c r="I18" i="3"/>
  <c r="Q121" i="3"/>
  <c r="O122" i="3"/>
  <c r="I236" i="3" l="1"/>
  <c r="S237" i="3"/>
  <c r="T237" i="3" s="1"/>
  <c r="L236" i="3"/>
  <c r="J237" i="3"/>
  <c r="Q18" i="3"/>
  <c r="O19" i="3"/>
  <c r="Z20" i="3"/>
  <c r="X21" i="3"/>
  <c r="L18" i="3"/>
  <c r="J19" i="3"/>
  <c r="AC18" i="3"/>
  <c r="AA19" i="3"/>
  <c r="T18" i="3"/>
  <c r="R19" i="3"/>
  <c r="Q122" i="3"/>
  <c r="O123" i="3"/>
  <c r="R123" i="3"/>
  <c r="I19" i="3"/>
  <c r="G20" i="3"/>
  <c r="L237" i="3" l="1"/>
  <c r="J238" i="3"/>
  <c r="I237" i="3"/>
  <c r="S238" i="3"/>
  <c r="T238" i="3" s="1"/>
  <c r="T19" i="3"/>
  <c r="R20" i="3"/>
  <c r="J20" i="3"/>
  <c r="L19" i="3"/>
  <c r="Q19" i="3"/>
  <c r="O20" i="3"/>
  <c r="AC19" i="3"/>
  <c r="AA20" i="3"/>
  <c r="Z21" i="3"/>
  <c r="X22" i="3"/>
  <c r="G21" i="3"/>
  <c r="I20" i="3"/>
  <c r="Q123" i="3"/>
  <c r="O124" i="3"/>
  <c r="R124" i="3"/>
  <c r="I238" i="3" l="1"/>
  <c r="S239" i="3"/>
  <c r="T239" i="3" s="1"/>
  <c r="L238" i="3"/>
  <c r="J239" i="3"/>
  <c r="Z22" i="3"/>
  <c r="X23" i="3"/>
  <c r="Q20" i="3"/>
  <c r="O21" i="3"/>
  <c r="T20" i="3"/>
  <c r="R21" i="3"/>
  <c r="J21" i="3"/>
  <c r="L20" i="3"/>
  <c r="AC20" i="3"/>
  <c r="AA21" i="3"/>
  <c r="I21" i="3"/>
  <c r="G22" i="3"/>
  <c r="R125" i="3"/>
  <c r="Q124" i="3"/>
  <c r="O125" i="3"/>
  <c r="L239" i="3" l="1"/>
  <c r="J240" i="3"/>
  <c r="I239" i="3"/>
  <c r="S240" i="3"/>
  <c r="T240" i="3" s="1"/>
  <c r="T21" i="3"/>
  <c r="R22" i="3"/>
  <c r="Z23" i="3"/>
  <c r="X24" i="3"/>
  <c r="J22" i="3"/>
  <c r="L21" i="3"/>
  <c r="AC21" i="3"/>
  <c r="AA22" i="3"/>
  <c r="Q21" i="3"/>
  <c r="O22" i="3"/>
  <c r="Q125" i="3"/>
  <c r="O126" i="3"/>
  <c r="I22" i="3"/>
  <c r="G23" i="3"/>
  <c r="R126" i="3"/>
  <c r="I240" i="3" l="1"/>
  <c r="S241" i="3"/>
  <c r="T241" i="3" s="1"/>
  <c r="L240" i="3"/>
  <c r="J241" i="3"/>
  <c r="AC22" i="3"/>
  <c r="AA23" i="3"/>
  <c r="Z24" i="3"/>
  <c r="X25" i="3"/>
  <c r="L22" i="3"/>
  <c r="J23" i="3"/>
  <c r="Q22" i="3"/>
  <c r="O23" i="3"/>
  <c r="T22" i="3"/>
  <c r="R23" i="3"/>
  <c r="R127" i="3"/>
  <c r="Q126" i="3"/>
  <c r="O127" i="3"/>
  <c r="G24" i="3"/>
  <c r="I23" i="3"/>
  <c r="L241" i="3" l="1"/>
  <c r="J242" i="3"/>
  <c r="I241" i="3"/>
  <c r="S242" i="3"/>
  <c r="T242" i="3" s="1"/>
  <c r="T23" i="3"/>
  <c r="R24" i="3"/>
  <c r="L23" i="3"/>
  <c r="J24" i="3"/>
  <c r="AC23" i="3"/>
  <c r="AA24" i="3"/>
  <c r="Q23" i="3"/>
  <c r="O24" i="3"/>
  <c r="Z25" i="3"/>
  <c r="X26" i="3"/>
  <c r="G25" i="3"/>
  <c r="I24" i="3"/>
  <c r="R128" i="3"/>
  <c r="Q127" i="3"/>
  <c r="O128" i="3"/>
  <c r="I242" i="3" l="1"/>
  <c r="S243" i="3"/>
  <c r="T243" i="3" s="1"/>
  <c r="L242" i="3"/>
  <c r="J243" i="3"/>
  <c r="Q24" i="3"/>
  <c r="O25" i="3"/>
  <c r="L24" i="3"/>
  <c r="J25" i="3"/>
  <c r="Z26" i="3"/>
  <c r="X27" i="3"/>
  <c r="AC24" i="3"/>
  <c r="AA25" i="3"/>
  <c r="T24" i="3"/>
  <c r="R25" i="3"/>
  <c r="G26" i="3"/>
  <c r="I25" i="3"/>
  <c r="Q128" i="3"/>
  <c r="O129" i="3"/>
  <c r="R129" i="3"/>
  <c r="L243" i="3" l="1"/>
  <c r="J244" i="3"/>
  <c r="I243" i="3"/>
  <c r="S244" i="3"/>
  <c r="T244" i="3" s="1"/>
  <c r="Z27" i="3"/>
  <c r="X28" i="3"/>
  <c r="T25" i="3"/>
  <c r="R26" i="3"/>
  <c r="Q25" i="3"/>
  <c r="O26" i="3"/>
  <c r="AC25" i="3"/>
  <c r="AA26" i="3"/>
  <c r="J26" i="3"/>
  <c r="L25" i="3"/>
  <c r="G27" i="3"/>
  <c r="I26" i="3"/>
  <c r="R130" i="3"/>
  <c r="Q129" i="3"/>
  <c r="O130" i="3"/>
  <c r="I244" i="3" l="1"/>
  <c r="L244" i="3"/>
  <c r="J245" i="3"/>
  <c r="L245" i="3" s="1"/>
  <c r="AC26" i="3"/>
  <c r="AA27" i="3"/>
  <c r="T26" i="3"/>
  <c r="R27" i="3"/>
  <c r="L26" i="3"/>
  <c r="J27" i="3"/>
  <c r="Q26" i="3"/>
  <c r="O27" i="3"/>
  <c r="Z28" i="3"/>
  <c r="X29" i="3"/>
  <c r="I27" i="3"/>
  <c r="G28" i="3"/>
  <c r="Q130" i="3"/>
  <c r="O131" i="3"/>
  <c r="R131" i="3"/>
  <c r="I245" i="3" l="1"/>
  <c r="S245" i="3"/>
  <c r="T245" i="3" s="1"/>
  <c r="Z29" i="3"/>
  <c r="X30" i="3"/>
  <c r="J28" i="3"/>
  <c r="L27" i="3"/>
  <c r="AC27" i="3"/>
  <c r="AA28" i="3"/>
  <c r="Q27" i="3"/>
  <c r="O28" i="3"/>
  <c r="T27" i="3"/>
  <c r="R28" i="3"/>
  <c r="R132" i="3"/>
  <c r="G29" i="3"/>
  <c r="I28" i="3"/>
  <c r="Q131" i="3"/>
  <c r="O132" i="3"/>
  <c r="Q28" i="3" l="1"/>
  <c r="O29" i="3"/>
  <c r="T28" i="3"/>
  <c r="R29" i="3"/>
  <c r="AC28" i="3"/>
  <c r="AA29" i="3"/>
  <c r="Z30" i="3"/>
  <c r="X31" i="3"/>
  <c r="L28" i="3"/>
  <c r="J29" i="3"/>
  <c r="Q132" i="3"/>
  <c r="O133" i="3"/>
  <c r="R133" i="3"/>
  <c r="G30" i="3"/>
  <c r="I29" i="3"/>
  <c r="AC29" i="3" l="1"/>
  <c r="AA30" i="3"/>
  <c r="J30" i="3"/>
  <c r="L29" i="3"/>
  <c r="Q29" i="3"/>
  <c r="O30" i="3"/>
  <c r="Z31" i="3"/>
  <c r="X32" i="3"/>
  <c r="T29" i="3"/>
  <c r="R30" i="3"/>
  <c r="G31" i="3"/>
  <c r="I30" i="3"/>
  <c r="Q133" i="3"/>
  <c r="O134" i="3"/>
  <c r="R134" i="3"/>
  <c r="Z32" i="3" l="1"/>
  <c r="X33" i="3"/>
  <c r="T30" i="3"/>
  <c r="R31" i="3"/>
  <c r="Q30" i="3"/>
  <c r="O31" i="3"/>
  <c r="AC30" i="3"/>
  <c r="AA31" i="3"/>
  <c r="L30" i="3"/>
  <c r="J31" i="3"/>
  <c r="R135" i="3"/>
  <c r="G32" i="3"/>
  <c r="I31" i="3"/>
  <c r="Q134" i="3"/>
  <c r="O135" i="3"/>
  <c r="AC31" i="3" l="1"/>
  <c r="AA32" i="3"/>
  <c r="T31" i="3"/>
  <c r="R32" i="3"/>
  <c r="J32" i="3"/>
  <c r="L31" i="3"/>
  <c r="Q31" i="3"/>
  <c r="O32" i="3"/>
  <c r="Z33" i="3"/>
  <c r="X34" i="3"/>
  <c r="Q135" i="3"/>
  <c r="O136" i="3"/>
  <c r="R136" i="3"/>
  <c r="G33" i="3"/>
  <c r="I32" i="3"/>
  <c r="Z34" i="3" l="1"/>
  <c r="X35" i="3"/>
  <c r="L32" i="3"/>
  <c r="J33" i="3"/>
  <c r="AC32" i="3"/>
  <c r="AA33" i="3"/>
  <c r="Q32" i="3"/>
  <c r="O33" i="3"/>
  <c r="T32" i="3"/>
  <c r="R33" i="3"/>
  <c r="I33" i="3"/>
  <c r="G34" i="3"/>
  <c r="Q136" i="3"/>
  <c r="O137" i="3"/>
  <c r="R137" i="3"/>
  <c r="Q33" i="3" l="1"/>
  <c r="O34" i="3"/>
  <c r="J34" i="3"/>
  <c r="L33" i="3"/>
  <c r="T33" i="3"/>
  <c r="R34" i="3"/>
  <c r="AC33" i="3"/>
  <c r="AA34" i="3"/>
  <c r="Z35" i="3"/>
  <c r="X36" i="3"/>
  <c r="R138" i="3"/>
  <c r="G35" i="3"/>
  <c r="I34" i="3"/>
  <c r="Q137" i="3"/>
  <c r="O138" i="3"/>
  <c r="Z36" i="3" l="1"/>
  <c r="X37" i="3"/>
  <c r="T34" i="3"/>
  <c r="R35" i="3"/>
  <c r="Q34" i="3"/>
  <c r="O35" i="3"/>
  <c r="J35" i="3"/>
  <c r="L34" i="3"/>
  <c r="AC34" i="3"/>
  <c r="AA35" i="3"/>
  <c r="Q138" i="3"/>
  <c r="O139" i="3"/>
  <c r="R139" i="3"/>
  <c r="I35" i="3"/>
  <c r="G36" i="3"/>
  <c r="T35" i="3" l="1"/>
  <c r="R36" i="3"/>
  <c r="AC35" i="3"/>
  <c r="AA36" i="3"/>
  <c r="Q35" i="3"/>
  <c r="O36" i="3"/>
  <c r="Z37" i="3"/>
  <c r="X38" i="3"/>
  <c r="L35" i="3"/>
  <c r="J36" i="3"/>
  <c r="G37" i="3"/>
  <c r="I36" i="3"/>
  <c r="Q139" i="3"/>
  <c r="O140" i="3"/>
  <c r="R140" i="3"/>
  <c r="J37" i="3" l="1"/>
  <c r="L36" i="3"/>
  <c r="Q36" i="3"/>
  <c r="O37" i="3"/>
  <c r="T36" i="3"/>
  <c r="R37" i="3"/>
  <c r="Z38" i="3"/>
  <c r="X39" i="3"/>
  <c r="Z39" i="3" s="1"/>
  <c r="AC36" i="3"/>
  <c r="AA37" i="3"/>
  <c r="R141" i="3"/>
  <c r="G38" i="3"/>
  <c r="I37" i="3"/>
  <c r="Q140" i="3"/>
  <c r="O141" i="3"/>
  <c r="Q37" i="3" l="1"/>
  <c r="O38" i="3"/>
  <c r="L37" i="3"/>
  <c r="J38" i="3"/>
  <c r="AC37" i="3"/>
  <c r="AA38" i="3"/>
  <c r="T37" i="3"/>
  <c r="R38" i="3"/>
  <c r="Q141" i="3"/>
  <c r="O142" i="3"/>
  <c r="R142" i="3"/>
  <c r="G39" i="3"/>
  <c r="I38" i="3"/>
  <c r="T38" i="3" l="1"/>
  <c r="R39" i="3"/>
  <c r="T39" i="3" s="1"/>
  <c r="J39" i="3"/>
  <c r="L38" i="3"/>
  <c r="AC38" i="3"/>
  <c r="AA39" i="3"/>
  <c r="AC39" i="3" s="1"/>
  <c r="Q38" i="3"/>
  <c r="O39" i="3"/>
  <c r="Q39" i="3" s="1"/>
  <c r="I39" i="3"/>
  <c r="G40" i="3"/>
  <c r="Q142" i="3"/>
  <c r="O143" i="3"/>
  <c r="R143" i="3"/>
  <c r="L39" i="3" l="1"/>
  <c r="J40" i="3"/>
  <c r="R144" i="3"/>
  <c r="I40" i="3"/>
  <c r="G41" i="3"/>
  <c r="Q143" i="3"/>
  <c r="O144" i="3"/>
  <c r="Q144" i="3" s="1"/>
  <c r="J41" i="3" l="1"/>
  <c r="L40" i="3"/>
  <c r="G42" i="3"/>
  <c r="I41" i="3"/>
  <c r="J42" i="3" l="1"/>
  <c r="L41" i="3"/>
  <c r="G43" i="3"/>
  <c r="I42" i="3"/>
  <c r="J43" i="3" l="1"/>
  <c r="L42" i="3"/>
  <c r="G44" i="3"/>
  <c r="I43" i="3"/>
  <c r="J44" i="3" l="1"/>
  <c r="L43" i="3"/>
  <c r="G45" i="3"/>
  <c r="I44" i="3"/>
  <c r="J45" i="3" l="1"/>
  <c r="L44" i="3"/>
  <c r="G46" i="3"/>
  <c r="I45" i="3"/>
  <c r="J46" i="3" l="1"/>
  <c r="L45" i="3"/>
  <c r="G47" i="3"/>
  <c r="I46" i="3"/>
  <c r="J47" i="3" l="1"/>
  <c r="L46" i="3"/>
  <c r="G48" i="3"/>
  <c r="I47" i="3"/>
  <c r="J48" i="3" l="1"/>
  <c r="L47" i="3"/>
  <c r="G49" i="3"/>
  <c r="I48" i="3"/>
  <c r="J49" i="3" l="1"/>
  <c r="L48" i="3"/>
  <c r="G50" i="3"/>
  <c r="I49" i="3"/>
  <c r="J50" i="3" l="1"/>
  <c r="L49" i="3"/>
  <c r="I50" i="3"/>
  <c r="G51" i="3"/>
  <c r="J51" i="3" l="1"/>
  <c r="L50" i="3"/>
  <c r="G52" i="3"/>
  <c r="I51" i="3"/>
  <c r="J52" i="3" l="1"/>
  <c r="L51" i="3"/>
  <c r="G53" i="3"/>
  <c r="I52" i="3"/>
  <c r="J53" i="3" l="1"/>
  <c r="L52" i="3"/>
  <c r="G54" i="3"/>
  <c r="I53" i="3"/>
  <c r="J54" i="3" l="1"/>
  <c r="L53" i="3"/>
  <c r="G55" i="3"/>
  <c r="I54" i="3"/>
  <c r="J55" i="3" l="1"/>
  <c r="L54" i="3"/>
  <c r="G56" i="3"/>
  <c r="I55" i="3"/>
  <c r="J56" i="3" l="1"/>
  <c r="L55" i="3"/>
  <c r="G57" i="3"/>
  <c r="I56" i="3"/>
  <c r="J57" i="3" l="1"/>
  <c r="L56" i="3"/>
  <c r="G58" i="3"/>
  <c r="I57" i="3"/>
  <c r="J58" i="3" l="1"/>
  <c r="L57" i="3"/>
  <c r="G59" i="3"/>
  <c r="I58" i="3"/>
  <c r="J59" i="3" l="1"/>
  <c r="L58" i="3"/>
  <c r="G60" i="3"/>
  <c r="I59" i="3"/>
  <c r="J60" i="3" l="1"/>
  <c r="L59" i="3"/>
  <c r="G61" i="3"/>
  <c r="I60" i="3"/>
  <c r="J61" i="3" l="1"/>
  <c r="L60" i="3"/>
  <c r="G62" i="3"/>
  <c r="I61" i="3"/>
  <c r="J62" i="3" l="1"/>
  <c r="L61" i="3"/>
  <c r="G63" i="3"/>
  <c r="I62" i="3"/>
  <c r="J63" i="3" l="1"/>
  <c r="L62" i="3"/>
  <c r="G64" i="3"/>
  <c r="I63" i="3"/>
  <c r="J64" i="3" l="1"/>
  <c r="L63" i="3"/>
  <c r="G65" i="3"/>
  <c r="I64" i="3"/>
  <c r="J65" i="3" l="1"/>
  <c r="L64" i="3"/>
  <c r="G66" i="3"/>
  <c r="I65" i="3"/>
  <c r="J66" i="3" l="1"/>
  <c r="L65" i="3"/>
  <c r="G67" i="3"/>
  <c r="I66" i="3"/>
  <c r="J67" i="3" l="1"/>
  <c r="L66" i="3"/>
  <c r="G68" i="3"/>
  <c r="I67" i="3"/>
  <c r="J68" i="3" l="1"/>
  <c r="L67" i="3"/>
  <c r="G69" i="3"/>
  <c r="I68" i="3"/>
  <c r="J69" i="3" l="1"/>
  <c r="L68" i="3"/>
  <c r="G70" i="3"/>
  <c r="I69" i="3"/>
  <c r="J70" i="3" l="1"/>
  <c r="L69" i="3"/>
  <c r="G71" i="3"/>
  <c r="I70" i="3"/>
  <c r="J71" i="3" l="1"/>
  <c r="L70" i="3"/>
  <c r="G72" i="3"/>
  <c r="I71" i="3"/>
  <c r="J72" i="3" l="1"/>
  <c r="L71" i="3"/>
  <c r="G73" i="3"/>
  <c r="I72" i="3"/>
  <c r="J73" i="3" l="1"/>
  <c r="L72" i="3"/>
  <c r="G74" i="3"/>
  <c r="I73" i="3"/>
  <c r="J74" i="3" l="1"/>
  <c r="L73" i="3"/>
  <c r="G75" i="3"/>
  <c r="I74" i="3"/>
  <c r="J75" i="3" l="1"/>
  <c r="L74" i="3"/>
  <c r="G76" i="3"/>
  <c r="I75" i="3"/>
  <c r="J76" i="3" l="1"/>
  <c r="L75" i="3"/>
  <c r="G77" i="3"/>
  <c r="I76" i="3"/>
  <c r="J77" i="3" l="1"/>
  <c r="L76" i="3"/>
  <c r="G78" i="3"/>
  <c r="I77" i="3"/>
  <c r="J78" i="3" l="1"/>
  <c r="L77" i="3"/>
  <c r="G79" i="3"/>
  <c r="I78" i="3"/>
  <c r="J79" i="3" l="1"/>
  <c r="L78" i="3"/>
  <c r="G80" i="3"/>
  <c r="I79" i="3"/>
  <c r="J80" i="3" l="1"/>
  <c r="L79" i="3"/>
  <c r="G81" i="3"/>
  <c r="I80" i="3"/>
  <c r="J81" i="3" l="1"/>
  <c r="L80" i="3"/>
  <c r="G82" i="3"/>
  <c r="I81" i="3"/>
  <c r="J82" i="3" l="1"/>
  <c r="L81" i="3"/>
  <c r="G83" i="3"/>
  <c r="I82" i="3"/>
  <c r="J83" i="3" l="1"/>
  <c r="L82" i="3"/>
  <c r="G84" i="3"/>
  <c r="I83" i="3"/>
  <c r="J84" i="3" l="1"/>
  <c r="L83" i="3"/>
  <c r="G85" i="3"/>
  <c r="I84" i="3"/>
  <c r="J85" i="3" l="1"/>
  <c r="L84" i="3"/>
  <c r="G86" i="3"/>
  <c r="I85" i="3"/>
  <c r="J86" i="3" l="1"/>
  <c r="L85" i="3"/>
  <c r="G87" i="3"/>
  <c r="I86" i="3"/>
  <c r="J87" i="3" l="1"/>
  <c r="L86" i="3"/>
  <c r="G88" i="3"/>
  <c r="I87" i="3"/>
  <c r="J88" i="3" l="1"/>
  <c r="L87" i="3"/>
  <c r="G89" i="3"/>
  <c r="I88" i="3"/>
  <c r="J89" i="3" l="1"/>
  <c r="L88" i="3"/>
  <c r="G90" i="3"/>
  <c r="I89" i="3"/>
  <c r="J90" i="3" l="1"/>
  <c r="L89" i="3"/>
  <c r="G91" i="3"/>
  <c r="I90" i="3"/>
  <c r="J91" i="3" l="1"/>
  <c r="L90" i="3"/>
  <c r="G92" i="3"/>
  <c r="I91" i="3"/>
  <c r="J92" i="3" l="1"/>
  <c r="L91" i="3"/>
  <c r="G93" i="3"/>
  <c r="I92" i="3"/>
  <c r="L92" i="3" l="1"/>
  <c r="J93" i="3"/>
  <c r="G94" i="3"/>
  <c r="I93" i="3"/>
  <c r="J94" i="3" l="1"/>
  <c r="L93" i="3"/>
  <c r="G95" i="3"/>
  <c r="I94" i="3"/>
  <c r="L94" i="3" l="1"/>
  <c r="J95" i="3"/>
  <c r="G96" i="3"/>
  <c r="I95" i="3"/>
  <c r="L95" i="3" l="1"/>
  <c r="J96" i="3"/>
  <c r="G97" i="3"/>
  <c r="I96" i="3"/>
  <c r="J97" i="3" l="1"/>
  <c r="L96" i="3"/>
  <c r="G98" i="3"/>
  <c r="I97" i="3"/>
  <c r="L97" i="3" l="1"/>
  <c r="J98" i="3"/>
  <c r="G99" i="3"/>
  <c r="I98" i="3"/>
  <c r="J99" i="3" l="1"/>
  <c r="L98" i="3"/>
  <c r="G100" i="3"/>
  <c r="I99" i="3"/>
  <c r="L99" i="3" l="1"/>
  <c r="J100" i="3"/>
  <c r="G101" i="3"/>
  <c r="I100" i="3"/>
  <c r="L100" i="3" l="1"/>
  <c r="J101" i="3"/>
  <c r="G102" i="3"/>
  <c r="I101" i="3"/>
  <c r="J102" i="3" l="1"/>
  <c r="L101" i="3"/>
  <c r="G103" i="3"/>
  <c r="I102" i="3"/>
  <c r="L102" i="3" l="1"/>
  <c r="J103" i="3"/>
  <c r="G104" i="3"/>
  <c r="I103" i="3"/>
  <c r="L103" i="3" l="1"/>
  <c r="J104" i="3"/>
  <c r="G105" i="3"/>
  <c r="I104" i="3"/>
  <c r="J105" i="3" l="1"/>
  <c r="L104" i="3"/>
  <c r="G106" i="3"/>
  <c r="I105" i="3"/>
  <c r="L105" i="3" l="1"/>
  <c r="J106" i="3"/>
  <c r="S106" i="3"/>
  <c r="T106" i="3" s="1"/>
  <c r="G107" i="3"/>
  <c r="I106" i="3"/>
  <c r="J107" i="3" l="1"/>
  <c r="L106" i="3"/>
  <c r="S107" i="3"/>
  <c r="G108" i="3"/>
  <c r="I107" i="3"/>
  <c r="L107" i="3" l="1"/>
  <c r="J108" i="3"/>
  <c r="S108" i="3"/>
  <c r="T107" i="3"/>
  <c r="G109" i="3"/>
  <c r="I108" i="3"/>
  <c r="L108" i="3" l="1"/>
  <c r="J109" i="3"/>
  <c r="S109" i="3"/>
  <c r="T108" i="3"/>
  <c r="G110" i="3"/>
  <c r="I109" i="3"/>
  <c r="J110" i="3" l="1"/>
  <c r="L109" i="3"/>
  <c r="S110" i="3"/>
  <c r="T109" i="3"/>
  <c r="G111" i="3"/>
  <c r="I110" i="3"/>
  <c r="L110" i="3" l="1"/>
  <c r="J111" i="3"/>
  <c r="S111" i="3"/>
  <c r="T110" i="3"/>
  <c r="G112" i="3"/>
  <c r="I111" i="3"/>
  <c r="L111" i="3" l="1"/>
  <c r="J112" i="3"/>
  <c r="S112" i="3"/>
  <c r="T111" i="3"/>
  <c r="G113" i="3"/>
  <c r="I112" i="3"/>
  <c r="J113" i="3" l="1"/>
  <c r="L112" i="3"/>
  <c r="S113" i="3"/>
  <c r="T112" i="3"/>
  <c r="I113" i="3"/>
  <c r="G114" i="3"/>
  <c r="J114" i="3" l="1"/>
  <c r="L113" i="3"/>
  <c r="S114" i="3"/>
  <c r="T113" i="3"/>
  <c r="G115" i="3"/>
  <c r="I114" i="3"/>
  <c r="J115" i="3" l="1"/>
  <c r="L114" i="3"/>
  <c r="S115" i="3"/>
  <c r="T114" i="3"/>
  <c r="I115" i="3"/>
  <c r="G116" i="3"/>
  <c r="J116" i="3" l="1"/>
  <c r="L115" i="3"/>
  <c r="S116" i="3"/>
  <c r="T115" i="3"/>
  <c r="G117" i="3"/>
  <c r="I116" i="3"/>
  <c r="J117" i="3" l="1"/>
  <c r="L116" i="3"/>
  <c r="S117" i="3"/>
  <c r="T116" i="3"/>
  <c r="I117" i="3"/>
  <c r="G118" i="3"/>
  <c r="J118" i="3" l="1"/>
  <c r="L117" i="3"/>
  <c r="S118" i="3"/>
  <c r="T117" i="3"/>
  <c r="G119" i="3"/>
  <c r="I118" i="3"/>
  <c r="J119" i="3" l="1"/>
  <c r="L118" i="3"/>
  <c r="S119" i="3"/>
  <c r="T118" i="3"/>
  <c r="I119" i="3"/>
  <c r="G120" i="3"/>
  <c r="J120" i="3" l="1"/>
  <c r="L119" i="3"/>
  <c r="S120" i="3"/>
  <c r="T119" i="3"/>
  <c r="G121" i="3"/>
  <c r="I120" i="3"/>
  <c r="J121" i="3" l="1"/>
  <c r="L120" i="3"/>
  <c r="S121" i="3"/>
  <c r="T120" i="3"/>
  <c r="I121" i="3"/>
  <c r="G122" i="3"/>
  <c r="J122" i="3" l="1"/>
  <c r="L121" i="3"/>
  <c r="S122" i="3"/>
  <c r="T121" i="3"/>
  <c r="G123" i="3"/>
  <c r="I122" i="3"/>
  <c r="J123" i="3" l="1"/>
  <c r="L122" i="3"/>
  <c r="S123" i="3"/>
  <c r="T122" i="3"/>
  <c r="I123" i="3"/>
  <c r="G124" i="3"/>
  <c r="J124" i="3" l="1"/>
  <c r="L123" i="3"/>
  <c r="S124" i="3"/>
  <c r="T123" i="3"/>
  <c r="G125" i="3"/>
  <c r="I124" i="3"/>
  <c r="J125" i="3" l="1"/>
  <c r="L124" i="3"/>
  <c r="S125" i="3"/>
  <c r="T124" i="3"/>
  <c r="I125" i="3"/>
  <c r="G126" i="3"/>
  <c r="J126" i="3" l="1"/>
  <c r="L125" i="3"/>
  <c r="S126" i="3"/>
  <c r="T125" i="3"/>
  <c r="G127" i="3"/>
  <c r="I126" i="3"/>
  <c r="J127" i="3" l="1"/>
  <c r="L126" i="3"/>
  <c r="S127" i="3"/>
  <c r="T126" i="3"/>
  <c r="I127" i="3"/>
  <c r="G128" i="3"/>
  <c r="J128" i="3" l="1"/>
  <c r="L127" i="3"/>
  <c r="S128" i="3"/>
  <c r="T127" i="3"/>
  <c r="G129" i="3"/>
  <c r="I128" i="3"/>
  <c r="J129" i="3" l="1"/>
  <c r="L128" i="3"/>
  <c r="S129" i="3"/>
  <c r="T128" i="3"/>
  <c r="I129" i="3"/>
  <c r="G130" i="3"/>
  <c r="J130" i="3" l="1"/>
  <c r="L129" i="3"/>
  <c r="S130" i="3"/>
  <c r="T129" i="3"/>
  <c r="G131" i="3"/>
  <c r="I130" i="3"/>
  <c r="J131" i="3" l="1"/>
  <c r="L130" i="3"/>
  <c r="S131" i="3"/>
  <c r="T130" i="3"/>
  <c r="G132" i="3"/>
  <c r="I131" i="3"/>
  <c r="J132" i="3" l="1"/>
  <c r="L131" i="3"/>
  <c r="S132" i="3"/>
  <c r="T131" i="3"/>
  <c r="G133" i="3"/>
  <c r="I132" i="3"/>
  <c r="J133" i="3" l="1"/>
  <c r="L132" i="3"/>
  <c r="S133" i="3"/>
  <c r="T132" i="3"/>
  <c r="G134" i="3"/>
  <c r="I133" i="3"/>
  <c r="J134" i="3" l="1"/>
  <c r="L133" i="3"/>
  <c r="S134" i="3"/>
  <c r="T133" i="3"/>
  <c r="G135" i="3"/>
  <c r="I134" i="3"/>
  <c r="J135" i="3" l="1"/>
  <c r="L134" i="3"/>
  <c r="S135" i="3"/>
  <c r="T134" i="3"/>
  <c r="G136" i="3"/>
  <c r="I135" i="3"/>
  <c r="J136" i="3" l="1"/>
  <c r="L135" i="3"/>
  <c r="S136" i="3"/>
  <c r="T135" i="3"/>
  <c r="G137" i="3"/>
  <c r="I136" i="3"/>
  <c r="J137" i="3" l="1"/>
  <c r="L136" i="3"/>
  <c r="S137" i="3"/>
  <c r="T136" i="3"/>
  <c r="G138" i="3"/>
  <c r="I137" i="3"/>
  <c r="J138" i="3" l="1"/>
  <c r="L137" i="3"/>
  <c r="S138" i="3"/>
  <c r="T137" i="3"/>
  <c r="G139" i="3"/>
  <c r="I138" i="3"/>
  <c r="J139" i="3" l="1"/>
  <c r="L138" i="3"/>
  <c r="S139" i="3"/>
  <c r="T138" i="3"/>
  <c r="G140" i="3"/>
  <c r="I139" i="3"/>
  <c r="J140" i="3" l="1"/>
  <c r="L139" i="3"/>
  <c r="S140" i="3"/>
  <c r="T139" i="3"/>
  <c r="G141" i="3"/>
  <c r="I140" i="3"/>
  <c r="J141" i="3" l="1"/>
  <c r="L140" i="3"/>
  <c r="S141" i="3"/>
  <c r="T140" i="3"/>
  <c r="G142" i="3"/>
  <c r="I141" i="3"/>
  <c r="J142" i="3" l="1"/>
  <c r="L141" i="3"/>
  <c r="S142" i="3"/>
  <c r="T141" i="3"/>
  <c r="G143" i="3"/>
  <c r="I142" i="3"/>
  <c r="J143" i="3" l="1"/>
  <c r="L142" i="3"/>
  <c r="S143" i="3"/>
  <c r="T142" i="3"/>
  <c r="G144" i="3"/>
  <c r="I143" i="3"/>
  <c r="J144" i="3" l="1"/>
  <c r="L143" i="3"/>
  <c r="S144" i="3"/>
  <c r="T144" i="3" s="1"/>
  <c r="T143" i="3"/>
  <c r="G145" i="3"/>
  <c r="I144" i="3"/>
  <c r="J145" i="3" l="1"/>
  <c r="L144" i="3"/>
  <c r="G146" i="3"/>
  <c r="I145" i="3"/>
  <c r="J146" i="3" l="1"/>
  <c r="L145" i="3"/>
  <c r="G147" i="3"/>
  <c r="I146" i="3"/>
  <c r="J147" i="3" l="1"/>
  <c r="L146" i="3"/>
  <c r="G148" i="3"/>
  <c r="I147" i="3"/>
  <c r="J148" i="3" l="1"/>
  <c r="L147" i="3"/>
  <c r="G149" i="3"/>
  <c r="I148" i="3"/>
  <c r="J149" i="3" l="1"/>
  <c r="L148" i="3"/>
  <c r="G150" i="3"/>
  <c r="I149" i="3"/>
  <c r="J150" i="3" l="1"/>
  <c r="L149" i="3"/>
  <c r="G151" i="3"/>
  <c r="I150" i="3"/>
  <c r="J151" i="3" l="1"/>
  <c r="L150" i="3"/>
  <c r="G152" i="3"/>
  <c r="I151" i="3"/>
  <c r="J152" i="3" l="1"/>
  <c r="L151" i="3"/>
  <c r="G153" i="3"/>
  <c r="I152" i="3"/>
  <c r="J153" i="3" l="1"/>
  <c r="L152" i="3"/>
  <c r="G154" i="3"/>
  <c r="I153" i="3"/>
  <c r="J154" i="3" l="1"/>
  <c r="L153" i="3"/>
  <c r="G155" i="3"/>
  <c r="I154" i="3"/>
  <c r="J155" i="3" l="1"/>
  <c r="L154" i="3"/>
  <c r="G156" i="3"/>
  <c r="I155" i="3"/>
  <c r="J156" i="3" l="1"/>
  <c r="L155" i="3"/>
  <c r="G157" i="3"/>
  <c r="I156" i="3"/>
  <c r="J157" i="3" l="1"/>
  <c r="L156" i="3"/>
  <c r="G158" i="3"/>
  <c r="I157" i="3"/>
  <c r="J158" i="3" l="1"/>
  <c r="L157" i="3"/>
  <c r="G159" i="3"/>
  <c r="I158" i="3"/>
  <c r="J159" i="3" l="1"/>
  <c r="L158" i="3"/>
  <c r="G160" i="3"/>
  <c r="I159" i="3"/>
  <c r="J160" i="3" l="1"/>
  <c r="L159" i="3"/>
  <c r="G161" i="3"/>
  <c r="I160" i="3"/>
  <c r="J161" i="3" l="1"/>
  <c r="L160" i="3"/>
  <c r="G162" i="3"/>
  <c r="I161" i="3"/>
  <c r="J162" i="3" l="1"/>
  <c r="L161" i="3"/>
  <c r="G163" i="3"/>
  <c r="I162" i="3"/>
  <c r="J163" i="3" l="1"/>
  <c r="L162" i="3"/>
  <c r="G164" i="3"/>
  <c r="I163" i="3"/>
  <c r="J164" i="3" l="1"/>
  <c r="L163" i="3"/>
  <c r="G165" i="3"/>
  <c r="I164" i="3"/>
  <c r="J165" i="3" l="1"/>
  <c r="L164" i="3"/>
  <c r="G166" i="3"/>
  <c r="I165" i="3"/>
  <c r="J166" i="3" l="1"/>
  <c r="L165" i="3"/>
  <c r="G167" i="3"/>
  <c r="I166" i="3"/>
  <c r="J167" i="3" l="1"/>
  <c r="L166" i="3"/>
  <c r="G168" i="3"/>
  <c r="I167" i="3"/>
  <c r="J168" i="3" l="1"/>
  <c r="L167" i="3"/>
  <c r="G169" i="3"/>
  <c r="I168" i="3"/>
  <c r="J169" i="3" l="1"/>
  <c r="L168" i="3"/>
  <c r="G170" i="3"/>
  <c r="I169" i="3"/>
  <c r="J170" i="3" l="1"/>
  <c r="L169" i="3"/>
  <c r="G171" i="3"/>
  <c r="I170" i="3"/>
  <c r="J171" i="3" l="1"/>
  <c r="L170" i="3"/>
  <c r="G172" i="3"/>
  <c r="I171" i="3"/>
  <c r="J172" i="3" l="1"/>
  <c r="L171" i="3"/>
  <c r="G173" i="3"/>
  <c r="I172" i="3"/>
  <c r="J173" i="3" l="1"/>
  <c r="L172" i="3"/>
  <c r="G174" i="3"/>
  <c r="I173" i="3"/>
  <c r="J174" i="3" l="1"/>
  <c r="L173" i="3"/>
  <c r="G175" i="3"/>
  <c r="I174" i="3"/>
  <c r="J175" i="3" l="1"/>
  <c r="L174" i="3"/>
  <c r="G176" i="3"/>
  <c r="I175" i="3"/>
  <c r="J176" i="3" l="1"/>
  <c r="L175" i="3"/>
  <c r="G177" i="3"/>
  <c r="I176" i="3"/>
  <c r="J177" i="3" l="1"/>
  <c r="L176" i="3"/>
  <c r="G178" i="3"/>
  <c r="I177" i="3"/>
  <c r="J178" i="3" l="1"/>
  <c r="L177" i="3"/>
  <c r="G179" i="3"/>
  <c r="I178" i="3"/>
  <c r="J179" i="3" l="1"/>
  <c r="L178" i="3"/>
  <c r="G180" i="3"/>
  <c r="I179" i="3"/>
  <c r="J180" i="3" l="1"/>
  <c r="L179" i="3"/>
  <c r="G181" i="3"/>
  <c r="I180" i="3"/>
  <c r="J181" i="3" l="1"/>
  <c r="L180" i="3"/>
  <c r="G182" i="3"/>
  <c r="I181" i="3"/>
  <c r="J182" i="3" l="1"/>
  <c r="L181" i="3"/>
  <c r="G183" i="3"/>
  <c r="I182" i="3"/>
  <c r="J183" i="3" l="1"/>
  <c r="L182" i="3"/>
  <c r="G184" i="3"/>
  <c r="I183" i="3"/>
  <c r="J184" i="3" l="1"/>
  <c r="L183" i="3"/>
  <c r="G185" i="3"/>
  <c r="I184" i="3"/>
  <c r="J185" i="3" l="1"/>
  <c r="L184" i="3"/>
  <c r="G186" i="3"/>
  <c r="I185" i="3"/>
  <c r="J186" i="3" l="1"/>
  <c r="L185" i="3"/>
  <c r="G187" i="3"/>
  <c r="I186" i="3"/>
  <c r="J187" i="3" l="1"/>
  <c r="L186" i="3"/>
  <c r="G188" i="3"/>
  <c r="I187" i="3"/>
  <c r="J188" i="3" l="1"/>
  <c r="L187" i="3"/>
  <c r="G189" i="3"/>
  <c r="I188" i="3"/>
  <c r="J189" i="3" l="1"/>
  <c r="L188" i="3"/>
  <c r="G190" i="3"/>
  <c r="I189" i="3"/>
  <c r="J190" i="3" l="1"/>
  <c r="L189" i="3"/>
  <c r="G191" i="3"/>
  <c r="I190" i="3"/>
  <c r="J191" i="3" l="1"/>
  <c r="L190" i="3"/>
  <c r="G192" i="3"/>
  <c r="I191" i="3"/>
  <c r="J192" i="3" l="1"/>
  <c r="L191" i="3"/>
  <c r="G193" i="3"/>
  <c r="I192" i="3"/>
  <c r="J193" i="3" l="1"/>
  <c r="L192" i="3"/>
  <c r="G194" i="3"/>
  <c r="I193" i="3"/>
  <c r="J194" i="3" l="1"/>
  <c r="L193" i="3"/>
  <c r="G195" i="3"/>
  <c r="I194" i="3"/>
  <c r="J195" i="3" l="1"/>
  <c r="L194" i="3"/>
  <c r="G196" i="3"/>
  <c r="I195" i="3"/>
  <c r="J196" i="3" l="1"/>
  <c r="L195" i="3"/>
  <c r="G197" i="3"/>
  <c r="I196" i="3"/>
  <c r="J197" i="3" l="1"/>
  <c r="L196" i="3"/>
  <c r="G198" i="3"/>
  <c r="I197" i="3"/>
  <c r="J198" i="3" l="1"/>
  <c r="L197" i="3"/>
  <c r="G199" i="3"/>
  <c r="I198" i="3"/>
  <c r="J199" i="3" l="1"/>
  <c r="L198" i="3"/>
  <c r="G200" i="3"/>
  <c r="I199" i="3"/>
  <c r="J200" i="3" l="1"/>
  <c r="L199" i="3"/>
  <c r="G201" i="3"/>
  <c r="I200" i="3"/>
  <c r="J201" i="3" l="1"/>
  <c r="L200" i="3"/>
  <c r="G202" i="3"/>
  <c r="I201" i="3"/>
  <c r="J202" i="3" l="1"/>
  <c r="L201" i="3"/>
  <c r="G203" i="3"/>
  <c r="I202" i="3"/>
  <c r="J203" i="3" l="1"/>
  <c r="L202" i="3"/>
  <c r="G204" i="3"/>
  <c r="I203" i="3"/>
  <c r="J204" i="3" l="1"/>
  <c r="L203" i="3"/>
  <c r="G205" i="3"/>
  <c r="I204" i="3"/>
  <c r="J205" i="3" l="1"/>
  <c r="L204" i="3"/>
  <c r="G206" i="3"/>
  <c r="I205" i="3"/>
  <c r="J206" i="3" l="1"/>
  <c r="L205" i="3"/>
  <c r="G207" i="3"/>
  <c r="I206" i="3"/>
  <c r="J207" i="3" l="1"/>
  <c r="L206" i="3"/>
  <c r="G208" i="3"/>
  <c r="I207" i="3"/>
  <c r="J208" i="3" l="1"/>
  <c r="L207" i="3"/>
  <c r="G209" i="3"/>
  <c r="I208" i="3"/>
  <c r="J209" i="3" l="1"/>
  <c r="L208" i="3"/>
  <c r="G210" i="3"/>
  <c r="I209" i="3"/>
  <c r="J210" i="3" l="1"/>
  <c r="L209" i="3"/>
  <c r="G211" i="3"/>
  <c r="I210" i="3"/>
  <c r="J211" i="3" l="1"/>
  <c r="L210" i="3"/>
  <c r="G212" i="3"/>
  <c r="I211" i="3"/>
  <c r="J212" i="3" l="1"/>
  <c r="L211" i="3"/>
  <c r="G213" i="3"/>
  <c r="I212" i="3"/>
  <c r="J213" i="3" l="1"/>
  <c r="L212" i="3"/>
  <c r="G214" i="3"/>
  <c r="I213" i="3"/>
  <c r="J214" i="3" l="1"/>
  <c r="L213" i="3"/>
  <c r="G215" i="3"/>
  <c r="I214" i="3"/>
  <c r="J215" i="3" l="1"/>
  <c r="L214" i="3"/>
  <c r="G216" i="3"/>
  <c r="I215" i="3"/>
  <c r="J216" i="3" l="1"/>
  <c r="L215" i="3"/>
  <c r="G217" i="3"/>
  <c r="I216" i="3"/>
  <c r="J217" i="3" l="1"/>
  <c r="L216" i="3"/>
  <c r="I217" i="3"/>
  <c r="G218" i="3"/>
  <c r="J218" i="3" l="1"/>
  <c r="L217" i="3"/>
  <c r="I218" i="3"/>
  <c r="G249" i="3"/>
  <c r="G251" i="3"/>
  <c r="G250" i="3"/>
  <c r="L218" i="3" l="1"/>
  <c r="J249" i="3"/>
  <c r="J250" i="3"/>
  <c r="J251" i="3"/>
  <c r="I250" i="3"/>
  <c r="I249" i="3"/>
  <c r="I251" i="3"/>
  <c r="L250" i="3" l="1"/>
  <c r="L251" i="3"/>
  <c r="L249" i="3"/>
</calcChain>
</file>

<file path=xl/sharedStrings.xml><?xml version="1.0" encoding="utf-8"?>
<sst xmlns="http://schemas.openxmlformats.org/spreadsheetml/2006/main" count="604" uniqueCount="73">
  <si>
    <t>UNIX_Time</t>
  </si>
  <si>
    <t>Sat</t>
  </si>
  <si>
    <t>Year</t>
  </si>
  <si>
    <t>Mo</t>
  </si>
  <si>
    <t>Dy</t>
  </si>
  <si>
    <t>Hr</t>
  </si>
  <si>
    <t>Mn</t>
  </si>
  <si>
    <t>Longitude</t>
  </si>
  <si>
    <t>Latitude</t>
  </si>
  <si>
    <t>B21</t>
  </si>
  <si>
    <t>B22</t>
  </si>
  <si>
    <t>B6</t>
  </si>
  <si>
    <t>B31</t>
  </si>
  <si>
    <t>B32</t>
  </si>
  <si>
    <t>SatZen</t>
  </si>
  <si>
    <t>SatAzi</t>
  </si>
  <si>
    <t>SunZen</t>
  </si>
  <si>
    <t>SunAzi</t>
  </si>
  <si>
    <t>Line</t>
  </si>
  <si>
    <t>Samp</t>
  </si>
  <si>
    <t>Ratio</t>
  </si>
  <si>
    <t>Glint</t>
  </si>
  <si>
    <t>A</t>
  </si>
  <si>
    <t>T</t>
  </si>
  <si>
    <t>Time</t>
  </si>
  <si>
    <t>nPixel</t>
  </si>
  <si>
    <t>B21max</t>
  </si>
  <si>
    <t>SigmaB21</t>
  </si>
  <si>
    <t>sigmaB21</t>
  </si>
  <si>
    <t>Ecold</t>
  </si>
  <si>
    <t>Ehot</t>
  </si>
  <si>
    <t>Qcold</t>
  </si>
  <si>
    <t>Qhot</t>
  </si>
  <si>
    <t>cumEcold</t>
  </si>
  <si>
    <t>cumEhot</t>
  </si>
  <si>
    <t>meanE</t>
  </si>
  <si>
    <t>cumQcold</t>
  </si>
  <si>
    <t>cumQhot</t>
  </si>
  <si>
    <t>meanQ</t>
  </si>
  <si>
    <t>second</t>
  </si>
  <si>
    <t>Vol/day</t>
  </si>
  <si>
    <t>Heat/day</t>
  </si>
  <si>
    <t>vol /second</t>
  </si>
  <si>
    <t>heat /second</t>
  </si>
  <si>
    <t xml:space="preserve"> </t>
  </si>
  <si>
    <t>I</t>
  </si>
  <si>
    <t>II</t>
  </si>
  <si>
    <t>III</t>
  </si>
  <si>
    <t>IV</t>
  </si>
  <si>
    <t>V</t>
  </si>
  <si>
    <t>8/30/26 19:15</t>
  </si>
  <si>
    <t>8/30/26 12:15</t>
  </si>
  <si>
    <t>8/25/26 12:20</t>
  </si>
  <si>
    <t>8/22/26 12:00</t>
  </si>
  <si>
    <t>8/19/26 18:50</t>
  </si>
  <si>
    <t>8/10/26 12:20</t>
  </si>
  <si>
    <t>8/9/26 19:05</t>
  </si>
  <si>
    <t>8/7/26 12:05</t>
  </si>
  <si>
    <t>8/5/26 12:25</t>
  </si>
  <si>
    <t>7/31/26 12:25</t>
  </si>
  <si>
    <t>6/30/26 11:55</t>
  </si>
  <si>
    <t>6/28/26 12:15</t>
  </si>
  <si>
    <t>6/18/26 12:15</t>
  </si>
  <si>
    <t>6/13/26 18:55</t>
  </si>
  <si>
    <t>6/3/26 12:20</t>
  </si>
  <si>
    <t>5/29/26 12:20</t>
  </si>
  <si>
    <t>4/19/26 12:30</t>
  </si>
  <si>
    <t>4/4/26 18:45</t>
  </si>
  <si>
    <t>3/30/26 18:50</t>
  </si>
  <si>
    <t>3/30/26 12:30</t>
  </si>
  <si>
    <t>3/25/26 12:30</t>
  </si>
  <si>
    <t>2/13/26 12:40</t>
  </si>
  <si>
    <t>1/9/26 12:40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</si>
</sst>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m/d/yy\ h:mm;@"/>
    <numFmt numFmtId="165" formatCode="d/m/yy\ h:mm;@"/>
    <numFmt numFmtId="166" formatCode="0.000"/>
  </numFmts>
  <fonts count="5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color rgb="FFFF0000"/>
      <name val="Arial"/>
      <family val="2"/>
    </font>
    <font>
      <sz val="11"/>
      <color rgb="FFFF0000"/>
      <name val="Calibri"/>
      <family val="2"/>
      <scheme val="minor"/>
    </font>
    <font>
      <sz val="11"/>
      <color rgb="FF00B05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164" fontId="0" fillId="0" borderId="0" xfId="0" applyNumberFormat="1"/>
    <xf numFmtId="0" fontId="1" fillId="0" borderId="0" xfId="0" applyFont="1"/>
    <xf numFmtId="4" fontId="0" fillId="0" borderId="0" xfId="0" applyNumberFormat="1"/>
    <xf numFmtId="11" fontId="0" fillId="0" borderId="0" xfId="0" applyNumberFormat="1"/>
    <xf numFmtId="2" fontId="0" fillId="0" borderId="0" xfId="0" applyNumberFormat="1"/>
    <xf numFmtId="165" fontId="0" fillId="0" borderId="0" xfId="0" applyNumberFormat="1"/>
    <xf numFmtId="0" fontId="0" fillId="2" borderId="0" xfId="0" applyFill="1"/>
    <xf numFmtId="166" fontId="0" fillId="0" borderId="0" xfId="0" applyNumberFormat="1"/>
    <xf numFmtId="0" fontId="0" fillId="3" borderId="0" xfId="0" applyFill="1"/>
    <xf numFmtId="166" fontId="0" fillId="3" borderId="0" xfId="0" applyNumberFormat="1" applyFill="1"/>
    <xf numFmtId="0" fontId="1" fillId="3" borderId="0" xfId="0" applyFont="1" applyFill="1"/>
    <xf numFmtId="164" fontId="2" fillId="0" borderId="0" xfId="0" applyNumberFormat="1" applyFont="1"/>
    <xf numFmtId="0" fontId="2" fillId="0" borderId="0" xfId="0" applyFont="1"/>
    <xf numFmtId="0" fontId="3" fillId="0" borderId="0" xfId="0" applyFont="1"/>
    <xf numFmtId="0" fontId="4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id-ID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8575">
              <a:noFill/>
            </a:ln>
          </c:spPr>
          <c:trendline>
            <c:trendlineType val="linear"/>
            <c:dispRSqr val="1"/>
            <c:dispEq val="1"/>
            <c:trendlineLbl>
              <c:numFmt formatCode="#,##0.00" sourceLinked="0"/>
            </c:trendlineLbl>
          </c:trendline>
          <c:xVal>
            <c:numRef>
              <c:f>'2001'!$A$3:$A$7</c:f>
              <c:numCache>
                <c:formatCode>m/d/yy\ h:mm;@</c:formatCode>
                <c:ptCount val="5"/>
                <c:pt idx="0">
                  <c:v>36915.638888888891</c:v>
                </c:pt>
                <c:pt idx="1">
                  <c:v>36918.659722222219</c:v>
                </c:pt>
                <c:pt idx="2">
                  <c:v>36938.131944444445</c:v>
                </c:pt>
                <c:pt idx="3">
                  <c:v>36945.645833333336</c:v>
                </c:pt>
                <c:pt idx="4">
                  <c:v>36947.638888888891</c:v>
                </c:pt>
              </c:numCache>
            </c:numRef>
          </c:xVal>
          <c:yVal>
            <c:numRef>
              <c:f>'2001'!$E$3:$E$7</c:f>
              <c:numCache>
                <c:formatCode>General</c:formatCode>
                <c:ptCount val="5"/>
                <c:pt idx="0">
                  <c:v>28403.046300011538</c:v>
                </c:pt>
                <c:pt idx="1">
                  <c:v>305151.26429956721</c:v>
                </c:pt>
                <c:pt idx="2">
                  <c:v>3081770.7651001434</c:v>
                </c:pt>
                <c:pt idx="3">
                  <c:v>4434822.3687004345</c:v>
                </c:pt>
                <c:pt idx="4">
                  <c:v>4975945.7151002148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84DC-46AB-B56B-E2F534D193E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55728128"/>
        <c:axId val="155738112"/>
      </c:scatterChart>
      <c:valAx>
        <c:axId val="155728128"/>
        <c:scaling>
          <c:orientation val="minMax"/>
        </c:scaling>
        <c:delete val="0"/>
        <c:axPos val="b"/>
        <c:numFmt formatCode="m/d/yy\ h:mm;@" sourceLinked="1"/>
        <c:majorTickMark val="out"/>
        <c:minorTickMark val="none"/>
        <c:tickLblPos val="nextTo"/>
        <c:crossAx val="155738112"/>
        <c:crosses val="autoZero"/>
        <c:crossBetween val="midCat"/>
      </c:valAx>
      <c:valAx>
        <c:axId val="155738112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155728128"/>
        <c:crosses val="autoZero"/>
        <c:crossBetween val="midCat"/>
      </c:valAx>
    </c:plotArea>
    <c:plotVisOnly val="1"/>
    <c:dispBlanksAs val="gap"/>
    <c:showDLblsOverMax val="0"/>
  </c:chart>
  <c:printSettings>
    <c:headerFooter/>
    <c:pageMargins b="0.75000000000000056" l="0.70000000000000051" r="0.70000000000000051" t="0.75000000000000056" header="0.30000000000000027" footer="0.30000000000000027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id-ID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8575">
              <a:noFill/>
            </a:ln>
          </c:spPr>
          <c:trendline>
            <c:trendlineType val="linear"/>
            <c:dispRSqr val="1"/>
            <c:dispEq val="1"/>
            <c:trendlineLbl>
              <c:layout>
                <c:manualLayout>
                  <c:x val="-0.19055228768340721"/>
                  <c:y val="-2.8199912510936159E-2"/>
                </c:manualLayout>
              </c:layout>
              <c:numFmt formatCode="#,##0.00" sourceLinked="0"/>
            </c:trendlineLbl>
          </c:trendline>
          <c:xVal>
            <c:numRef>
              <c:f>'2001'!$A$3:$A$7</c:f>
              <c:numCache>
                <c:formatCode>m/d/yy\ h:mm;@</c:formatCode>
                <c:ptCount val="5"/>
                <c:pt idx="0">
                  <c:v>36915.638888888891</c:v>
                </c:pt>
                <c:pt idx="1">
                  <c:v>36918.659722222219</c:v>
                </c:pt>
                <c:pt idx="2">
                  <c:v>36938.131944444445</c:v>
                </c:pt>
                <c:pt idx="3">
                  <c:v>36945.645833333336</c:v>
                </c:pt>
                <c:pt idx="4">
                  <c:v>36947.638888888891</c:v>
                </c:pt>
              </c:numCache>
            </c:numRef>
          </c:xVal>
          <c:yVal>
            <c:numRef>
              <c:f>'2001'!$H$3:$H$7</c:f>
              <c:numCache>
                <c:formatCode>General</c:formatCode>
                <c:ptCount val="5"/>
                <c:pt idx="0">
                  <c:v>35981507452814.609</c:v>
                </c:pt>
                <c:pt idx="1">
                  <c:v>270328254268438.31</c:v>
                </c:pt>
                <c:pt idx="2">
                  <c:v>3247962306825856</c:v>
                </c:pt>
                <c:pt idx="3">
                  <c:v>5033129724605440</c:v>
                </c:pt>
                <c:pt idx="4">
                  <c:v>5788072824643534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11AD-40E6-8974-B5EBE382FFE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55770240"/>
        <c:axId val="156832896"/>
      </c:scatterChart>
      <c:valAx>
        <c:axId val="155770240"/>
        <c:scaling>
          <c:orientation val="minMax"/>
        </c:scaling>
        <c:delete val="0"/>
        <c:axPos val="b"/>
        <c:numFmt formatCode="m/d/yy\ h:mm;@" sourceLinked="1"/>
        <c:majorTickMark val="out"/>
        <c:minorTickMark val="none"/>
        <c:tickLblPos val="nextTo"/>
        <c:crossAx val="156832896"/>
        <c:crosses val="autoZero"/>
        <c:crossBetween val="midCat"/>
      </c:valAx>
      <c:valAx>
        <c:axId val="156832896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155770240"/>
        <c:crosses val="autoZero"/>
        <c:crossBetween val="midCat"/>
      </c:valAx>
    </c:plotArea>
    <c:plotVisOnly val="1"/>
    <c:dispBlanksAs val="gap"/>
    <c:showDLblsOverMax val="0"/>
  </c:chart>
  <c:printSettings>
    <c:headerFooter/>
    <c:pageMargins b="0.75000000000000089" l="0.70000000000000062" r="0.70000000000000062" t="0.75000000000000089" header="0.30000000000000032" footer="0.30000000000000032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id-ID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8575">
              <a:noFill/>
            </a:ln>
          </c:spPr>
          <c:xVal>
            <c:numRef>
              <c:f>'2001'!$A$2:$A$39</c:f>
              <c:numCache>
                <c:formatCode>m/d/yy\ h:mm;@</c:formatCode>
                <c:ptCount val="38"/>
                <c:pt idx="0">
                  <c:v>36911.65625</c:v>
                </c:pt>
                <c:pt idx="1">
                  <c:v>36915.638888888891</c:v>
                </c:pt>
                <c:pt idx="2">
                  <c:v>36918.659722222219</c:v>
                </c:pt>
                <c:pt idx="3">
                  <c:v>36938.131944444445</c:v>
                </c:pt>
                <c:pt idx="4">
                  <c:v>36945.645833333336</c:v>
                </c:pt>
                <c:pt idx="5">
                  <c:v>36947.638888888891</c:v>
                </c:pt>
                <c:pt idx="6">
                  <c:v>36950.149305555555</c:v>
                </c:pt>
                <c:pt idx="7">
                  <c:v>36952.138888888891</c:v>
                </c:pt>
                <c:pt idx="8">
                  <c:v>36959.142361111109</c:v>
                </c:pt>
                <c:pt idx="9">
                  <c:v>36959.65625</c:v>
                </c:pt>
                <c:pt idx="10">
                  <c:v>36963.638888888891</c:v>
                </c:pt>
                <c:pt idx="11">
                  <c:v>36968.138888888891</c:v>
                </c:pt>
                <c:pt idx="12">
                  <c:v>36968.649305555555</c:v>
                </c:pt>
                <c:pt idx="13">
                  <c:v>36991.65625</c:v>
                </c:pt>
                <c:pt idx="14">
                  <c:v>36995.638888888891</c:v>
                </c:pt>
                <c:pt idx="15">
                  <c:v>37000.649305555555</c:v>
                </c:pt>
                <c:pt idx="16">
                  <c:v>37002.642361111109</c:v>
                </c:pt>
                <c:pt idx="17">
                  <c:v>37007.65625</c:v>
                </c:pt>
                <c:pt idx="18">
                  <c:v>37009.645833333336</c:v>
                </c:pt>
                <c:pt idx="19">
                  <c:v>37011.638888888891</c:v>
                </c:pt>
                <c:pt idx="20">
                  <c:v>37016.649305555555</c:v>
                </c:pt>
                <c:pt idx="21">
                  <c:v>37018.642361111109</c:v>
                </c:pt>
                <c:pt idx="22">
                  <c:v>37020.631944444445</c:v>
                </c:pt>
                <c:pt idx="23">
                  <c:v>37021.663194444445</c:v>
                </c:pt>
                <c:pt idx="24">
                  <c:v>37023.142361111109</c:v>
                </c:pt>
                <c:pt idx="25">
                  <c:v>37023.652777777781</c:v>
                </c:pt>
                <c:pt idx="26">
                  <c:v>37025.135416666664</c:v>
                </c:pt>
                <c:pt idx="27">
                  <c:v>37025.645833333336</c:v>
                </c:pt>
                <c:pt idx="28">
                  <c:v>37027.638888888891</c:v>
                </c:pt>
                <c:pt idx="29">
                  <c:v>37032.649305555555</c:v>
                </c:pt>
                <c:pt idx="30">
                  <c:v>37034.642361111109</c:v>
                </c:pt>
                <c:pt idx="31">
                  <c:v>37037.663194444445</c:v>
                </c:pt>
                <c:pt idx="32">
                  <c:v>37039.652777777781</c:v>
                </c:pt>
                <c:pt idx="33">
                  <c:v>37041.645833333336</c:v>
                </c:pt>
                <c:pt idx="34">
                  <c:v>37048.649305555555</c:v>
                </c:pt>
                <c:pt idx="35">
                  <c:v>37053.663194444445</c:v>
                </c:pt>
                <c:pt idx="36">
                  <c:v>37055.652777777781</c:v>
                </c:pt>
                <c:pt idx="37">
                  <c:v>37078.65625</c:v>
                </c:pt>
              </c:numCache>
            </c:numRef>
          </c:xVal>
          <c:yVal>
            <c:numRef>
              <c:f>'2001'!$E$2:$E$39</c:f>
              <c:numCache>
                <c:formatCode>General</c:formatCode>
                <c:ptCount val="38"/>
                <c:pt idx="0">
                  <c:v>0</c:v>
                </c:pt>
                <c:pt idx="1">
                  <c:v>28403.046300011538</c:v>
                </c:pt>
                <c:pt idx="2">
                  <c:v>305151.26429956721</c:v>
                </c:pt>
                <c:pt idx="3">
                  <c:v>3081770.7651001434</c:v>
                </c:pt>
                <c:pt idx="4">
                  <c:v>4434822.3687004345</c:v>
                </c:pt>
                <c:pt idx="5">
                  <c:v>4975945.7151002148</c:v>
                </c:pt>
                <c:pt idx="6">
                  <c:v>5188087.3629000103</c:v>
                </c:pt>
                <c:pt idx="7">
                  <c:v>5412736.4250002839</c:v>
                </c:pt>
                <c:pt idx="8">
                  <c:v>5873968.4541000705</c:v>
                </c:pt>
                <c:pt idx="9">
                  <c:v>5917680.6537002083</c:v>
                </c:pt>
                <c:pt idx="10">
                  <c:v>6062391.9087002678</c:v>
                </c:pt>
                <c:pt idx="11">
                  <c:v>6417477.1167002674</c:v>
                </c:pt>
                <c:pt idx="12">
                  <c:v>6457888.3722000755</c:v>
                </c:pt>
                <c:pt idx="13">
                  <c:v>8148824.3568001352</c:v>
                </c:pt>
                <c:pt idx="14">
                  <c:v>8371074.4176002257</c:v>
                </c:pt>
                <c:pt idx="15">
                  <c:v>8444550.9675001893</c:v>
                </c:pt>
                <c:pt idx="16">
                  <c:v>8481919.9173001759</c:v>
                </c:pt>
                <c:pt idx="17">
                  <c:v>8630854.0773002226</c:v>
                </c:pt>
                <c:pt idx="18">
                  <c:v>8860411.0563005023</c:v>
                </c:pt>
                <c:pt idx="19">
                  <c:v>8944142.9619004689</c:v>
                </c:pt>
                <c:pt idx="20">
                  <c:v>9095233.2870003954</c:v>
                </c:pt>
                <c:pt idx="21">
                  <c:v>9252871.0218003318</c:v>
                </c:pt>
                <c:pt idx="22">
                  <c:v>9331338.0429004263</c:v>
                </c:pt>
                <c:pt idx="23">
                  <c:v>9350235.8856004272</c:v>
                </c:pt>
                <c:pt idx="24">
                  <c:v>9481666.6836002115</c:v>
                </c:pt>
                <c:pt idx="25">
                  <c:v>9532435.0446006935</c:v>
                </c:pt>
                <c:pt idx="26">
                  <c:v>9742985.0723998901</c:v>
                </c:pt>
                <c:pt idx="27">
                  <c:v>9787796.4054003153</c:v>
                </c:pt>
                <c:pt idx="28">
                  <c:v>9871792.6380002815</c:v>
                </c:pt>
                <c:pt idx="29">
                  <c:v>10476870.387899987</c:v>
                </c:pt>
                <c:pt idx="30">
                  <c:v>10747322.886299878</c:v>
                </c:pt>
                <c:pt idx="31">
                  <c:v>11060849.39730013</c:v>
                </c:pt>
                <c:pt idx="32">
                  <c:v>11340699.331200471</c:v>
                </c:pt>
                <c:pt idx="33">
                  <c:v>11682414.388800332</c:v>
                </c:pt>
                <c:pt idx="34">
                  <c:v>11888032.814700238</c:v>
                </c:pt>
                <c:pt idx="35">
                  <c:v>12053325.039900292</c:v>
                </c:pt>
                <c:pt idx="36">
                  <c:v>12160870.149300423</c:v>
                </c:pt>
                <c:pt idx="37">
                  <c:v>12432923.124300385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03F4-4C2E-88AA-0307A114556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56868608"/>
        <c:axId val="156870144"/>
      </c:scatterChart>
      <c:valAx>
        <c:axId val="156868608"/>
        <c:scaling>
          <c:orientation val="minMax"/>
        </c:scaling>
        <c:delete val="0"/>
        <c:axPos val="b"/>
        <c:numFmt formatCode="m/d/yy\ h:mm;@" sourceLinked="1"/>
        <c:majorTickMark val="out"/>
        <c:minorTickMark val="none"/>
        <c:tickLblPos val="nextTo"/>
        <c:crossAx val="156870144"/>
        <c:crosses val="autoZero"/>
        <c:crossBetween val="midCat"/>
      </c:valAx>
      <c:valAx>
        <c:axId val="156870144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156868608"/>
        <c:crosses val="autoZero"/>
        <c:crossBetween val="midCat"/>
      </c:valAx>
    </c:plotArea>
    <c:plotVisOnly val="1"/>
    <c:dispBlanksAs val="gap"/>
    <c:showDLblsOverMax val="0"/>
  </c:chart>
  <c:printSettings>
    <c:headerFooter/>
    <c:pageMargins b="0.75000000000000089" l="0.70000000000000062" r="0.70000000000000062" t="0.75000000000000089" header="0.30000000000000032" footer="0.30000000000000032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id-ID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8575">
              <a:noFill/>
            </a:ln>
          </c:spPr>
          <c:xVal>
            <c:numRef>
              <c:f>'2001'!$A$2:$A$39</c:f>
              <c:numCache>
                <c:formatCode>m/d/yy\ h:mm;@</c:formatCode>
                <c:ptCount val="38"/>
                <c:pt idx="0">
                  <c:v>36911.65625</c:v>
                </c:pt>
                <c:pt idx="1">
                  <c:v>36915.638888888891</c:v>
                </c:pt>
                <c:pt idx="2">
                  <c:v>36918.659722222219</c:v>
                </c:pt>
                <c:pt idx="3">
                  <c:v>36938.131944444445</c:v>
                </c:pt>
                <c:pt idx="4">
                  <c:v>36945.645833333336</c:v>
                </c:pt>
                <c:pt idx="5">
                  <c:v>36947.638888888891</c:v>
                </c:pt>
                <c:pt idx="6">
                  <c:v>36950.149305555555</c:v>
                </c:pt>
                <c:pt idx="7">
                  <c:v>36952.138888888891</c:v>
                </c:pt>
                <c:pt idx="8">
                  <c:v>36959.142361111109</c:v>
                </c:pt>
                <c:pt idx="9">
                  <c:v>36959.65625</c:v>
                </c:pt>
                <c:pt idx="10">
                  <c:v>36963.638888888891</c:v>
                </c:pt>
                <c:pt idx="11">
                  <c:v>36968.138888888891</c:v>
                </c:pt>
                <c:pt idx="12">
                  <c:v>36968.649305555555</c:v>
                </c:pt>
                <c:pt idx="13">
                  <c:v>36991.65625</c:v>
                </c:pt>
                <c:pt idx="14">
                  <c:v>36995.638888888891</c:v>
                </c:pt>
                <c:pt idx="15">
                  <c:v>37000.649305555555</c:v>
                </c:pt>
                <c:pt idx="16">
                  <c:v>37002.642361111109</c:v>
                </c:pt>
                <c:pt idx="17">
                  <c:v>37007.65625</c:v>
                </c:pt>
                <c:pt idx="18">
                  <c:v>37009.645833333336</c:v>
                </c:pt>
                <c:pt idx="19">
                  <c:v>37011.638888888891</c:v>
                </c:pt>
                <c:pt idx="20">
                  <c:v>37016.649305555555</c:v>
                </c:pt>
                <c:pt idx="21">
                  <c:v>37018.642361111109</c:v>
                </c:pt>
                <c:pt idx="22">
                  <c:v>37020.631944444445</c:v>
                </c:pt>
                <c:pt idx="23">
                  <c:v>37021.663194444445</c:v>
                </c:pt>
                <c:pt idx="24">
                  <c:v>37023.142361111109</c:v>
                </c:pt>
                <c:pt idx="25">
                  <c:v>37023.652777777781</c:v>
                </c:pt>
                <c:pt idx="26">
                  <c:v>37025.135416666664</c:v>
                </c:pt>
                <c:pt idx="27">
                  <c:v>37025.645833333336</c:v>
                </c:pt>
                <c:pt idx="28">
                  <c:v>37027.638888888891</c:v>
                </c:pt>
                <c:pt idx="29">
                  <c:v>37032.649305555555</c:v>
                </c:pt>
                <c:pt idx="30">
                  <c:v>37034.642361111109</c:v>
                </c:pt>
                <c:pt idx="31">
                  <c:v>37037.663194444445</c:v>
                </c:pt>
                <c:pt idx="32">
                  <c:v>37039.652777777781</c:v>
                </c:pt>
                <c:pt idx="33">
                  <c:v>37041.645833333336</c:v>
                </c:pt>
                <c:pt idx="34">
                  <c:v>37048.649305555555</c:v>
                </c:pt>
                <c:pt idx="35">
                  <c:v>37053.663194444445</c:v>
                </c:pt>
                <c:pt idx="36">
                  <c:v>37055.652777777781</c:v>
                </c:pt>
                <c:pt idx="37">
                  <c:v>37078.65625</c:v>
                </c:pt>
              </c:numCache>
            </c:numRef>
          </c:xVal>
          <c:yVal>
            <c:numRef>
              <c:f>'2001'!$H$2:$H$39</c:f>
              <c:numCache>
                <c:formatCode>General</c:formatCode>
                <c:ptCount val="38"/>
                <c:pt idx="0">
                  <c:v>0</c:v>
                </c:pt>
                <c:pt idx="1">
                  <c:v>35981507452814.609</c:v>
                </c:pt>
                <c:pt idx="2">
                  <c:v>270328254268438.31</c:v>
                </c:pt>
                <c:pt idx="3">
                  <c:v>3247962306825856</c:v>
                </c:pt>
                <c:pt idx="4">
                  <c:v>5033129724605440</c:v>
                </c:pt>
                <c:pt idx="5">
                  <c:v>5788072824643534</c:v>
                </c:pt>
                <c:pt idx="6">
                  <c:v>6639068119756312</c:v>
                </c:pt>
                <c:pt idx="7">
                  <c:v>7422972633149268</c:v>
                </c:pt>
                <c:pt idx="8">
                  <c:v>1.023399758122477E+16</c:v>
                </c:pt>
                <c:pt idx="9">
                  <c:v>1.0461128182377484E+16</c:v>
                </c:pt>
                <c:pt idx="10">
                  <c:v>1.2202435144099792E+16</c:v>
                </c:pt>
                <c:pt idx="11">
                  <c:v>1.4382807230064592E+16</c:v>
                </c:pt>
                <c:pt idx="12">
                  <c:v>1.464591672485694E+16</c:v>
                </c:pt>
                <c:pt idx="13">
                  <c:v>2.711371001189738E+16</c:v>
                </c:pt>
                <c:pt idx="14">
                  <c:v>2.933122559640068E+16</c:v>
                </c:pt>
                <c:pt idx="15">
                  <c:v>3.2069711779122552E+16</c:v>
                </c:pt>
                <c:pt idx="16">
                  <c:v>3.3176850271218104E+16</c:v>
                </c:pt>
                <c:pt idx="17">
                  <c:v>3.6041633657702224E+16</c:v>
                </c:pt>
                <c:pt idx="18">
                  <c:v>3.73341041175662E+16</c:v>
                </c:pt>
                <c:pt idx="19">
                  <c:v>3.8604644435012088E+16</c:v>
                </c:pt>
                <c:pt idx="20">
                  <c:v>4.183465555651132E+16</c:v>
                </c:pt>
                <c:pt idx="21">
                  <c:v>4.321885221064196E+16</c:v>
                </c:pt>
                <c:pt idx="22">
                  <c:v>4.4600588316211648E+16</c:v>
                </c:pt>
                <c:pt idx="23">
                  <c:v>4.5315718844323648E+16</c:v>
                </c:pt>
                <c:pt idx="24">
                  <c:v>4.6433234327624208E+16</c:v>
                </c:pt>
                <c:pt idx="25">
                  <c:v>4.6840735930936888E+16</c:v>
                </c:pt>
                <c:pt idx="26">
                  <c:v>4.8130933314170368E+16</c:v>
                </c:pt>
                <c:pt idx="27">
                  <c:v>4.8581794889848248E+16</c:v>
                </c:pt>
                <c:pt idx="28">
                  <c:v>5.0339703499613944E+16</c:v>
                </c:pt>
                <c:pt idx="29">
                  <c:v>5.5147780049106008E+16</c:v>
                </c:pt>
                <c:pt idx="30">
                  <c:v>5.7177219878685984E+16</c:v>
                </c:pt>
                <c:pt idx="31">
                  <c:v>6.033782207107252E+16</c:v>
                </c:pt>
                <c:pt idx="32">
                  <c:v>6.2556938882259232E+16</c:v>
                </c:pt>
                <c:pt idx="33">
                  <c:v>6.4936808511122264E+16</c:v>
                </c:pt>
                <c:pt idx="34">
                  <c:v>7.2992888977006544E+16</c:v>
                </c:pt>
                <c:pt idx="35">
                  <c:v>7.8831968474314032E+16</c:v>
                </c:pt>
                <c:pt idx="36">
                  <c:v>8.1207257491654528E+16</c:v>
                </c:pt>
                <c:pt idx="37">
                  <c:v>1.083996363052507E+17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F794-4918-B939-4368710CDEE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56889472"/>
        <c:axId val="156891008"/>
      </c:scatterChart>
      <c:valAx>
        <c:axId val="156889472"/>
        <c:scaling>
          <c:orientation val="minMax"/>
        </c:scaling>
        <c:delete val="0"/>
        <c:axPos val="b"/>
        <c:numFmt formatCode="m/d/yy\ h:mm;@" sourceLinked="1"/>
        <c:majorTickMark val="out"/>
        <c:minorTickMark val="none"/>
        <c:tickLblPos val="nextTo"/>
        <c:crossAx val="156891008"/>
        <c:crosses val="autoZero"/>
        <c:crossBetween val="midCat"/>
      </c:valAx>
      <c:valAx>
        <c:axId val="156891008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156889472"/>
        <c:crosses val="autoZero"/>
        <c:crossBetween val="midCat"/>
      </c:valAx>
    </c:plotArea>
    <c:plotVisOnly val="1"/>
    <c:dispBlanksAs val="gap"/>
    <c:showDLblsOverMax val="0"/>
  </c:chart>
  <c:printSettings>
    <c:headerFooter/>
    <c:pageMargins b="0.75000000000000111" l="0.70000000000000062" r="0.70000000000000062" t="0.75000000000000111" header="0.30000000000000032" footer="0.30000000000000032"/>
    <c:pageSetup/>
  </c:printSettings>
</c:chartSpac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514349</xdr:colOff>
      <xdr:row>1</xdr:row>
      <xdr:rowOff>76200</xdr:rowOff>
    </xdr:from>
    <xdr:to>
      <xdr:col>18</xdr:col>
      <xdr:colOff>123824</xdr:colOff>
      <xdr:row>15</xdr:row>
      <xdr:rowOff>152400</xdr:rowOff>
    </xdr:to>
    <xdr:graphicFrame macro="">
      <xdr:nvGraphicFramePr>
        <xdr:cNvPr id="3" name="Graphique 2">
          <a:extLst>
            <a:ext uri="{FF2B5EF4-FFF2-40B4-BE49-F238E27FC236}">
              <a16:creationId xmlns:a16="http://schemas.microsoft.com/office/drawing/2014/main" id="{00000000-0008-0000-03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8</xdr:col>
      <xdr:colOff>561975</xdr:colOff>
      <xdr:row>17</xdr:row>
      <xdr:rowOff>28575</xdr:rowOff>
    </xdr:from>
    <xdr:to>
      <xdr:col>18</xdr:col>
      <xdr:colOff>171450</xdr:colOff>
      <xdr:row>31</xdr:row>
      <xdr:rowOff>104775</xdr:rowOff>
    </xdr:to>
    <xdr:graphicFrame macro="">
      <xdr:nvGraphicFramePr>
        <xdr:cNvPr id="4" name="Graphique 3">
          <a:extLst>
            <a:ext uri="{FF2B5EF4-FFF2-40B4-BE49-F238E27FC236}">
              <a16:creationId xmlns:a16="http://schemas.microsoft.com/office/drawing/2014/main" id="{00000000-0008-0000-03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8</xdr:col>
      <xdr:colOff>133350</xdr:colOff>
      <xdr:row>33</xdr:row>
      <xdr:rowOff>0</xdr:rowOff>
    </xdr:from>
    <xdr:to>
      <xdr:col>20</xdr:col>
      <xdr:colOff>514350</xdr:colOff>
      <xdr:row>47</xdr:row>
      <xdr:rowOff>76200</xdr:rowOff>
    </xdr:to>
    <xdr:graphicFrame macro="">
      <xdr:nvGraphicFramePr>
        <xdr:cNvPr id="5" name="Graphique 4">
          <a:extLst>
            <a:ext uri="{FF2B5EF4-FFF2-40B4-BE49-F238E27FC236}">
              <a16:creationId xmlns:a16="http://schemas.microsoft.com/office/drawing/2014/main" id="{00000000-0008-0000-0300-000005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9</xdr:col>
      <xdr:colOff>47626</xdr:colOff>
      <xdr:row>48</xdr:row>
      <xdr:rowOff>142875</xdr:rowOff>
    </xdr:from>
    <xdr:to>
      <xdr:col>18</xdr:col>
      <xdr:colOff>419101</xdr:colOff>
      <xdr:row>63</xdr:row>
      <xdr:rowOff>28575</xdr:rowOff>
    </xdr:to>
    <xdr:graphicFrame macro="">
      <xdr:nvGraphicFramePr>
        <xdr:cNvPr id="6" name="Graphique 5">
          <a:extLst>
            <a:ext uri="{FF2B5EF4-FFF2-40B4-BE49-F238E27FC236}">
              <a16:creationId xmlns:a16="http://schemas.microsoft.com/office/drawing/2014/main" id="{00000000-0008-0000-0300-000006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398"/>
  <sheetViews>
    <sheetView topLeftCell="A15" workbookViewId="0">
      <selection activeCell="H21" sqref="H21"/>
    </sheetView>
  </sheetViews>
  <sheetFormatPr defaultColWidth="11.453125" defaultRowHeight="14.5" x14ac:dyDescent="0.35"/>
  <cols>
    <col min="1" max="1" width="11" bestFit="1" customWidth="1"/>
    <col min="2" max="2" width="3.7265625" bestFit="1" customWidth="1"/>
    <col min="3" max="3" width="5" bestFit="1" customWidth="1"/>
    <col min="4" max="4" width="3.81640625" bestFit="1" customWidth="1"/>
    <col min="5" max="5" width="3.26953125" bestFit="1" customWidth="1"/>
    <col min="6" max="6" width="3" bestFit="1" customWidth="1"/>
    <col min="7" max="7" width="3.81640625" bestFit="1" customWidth="1"/>
    <col min="8" max="8" width="15.453125" customWidth="1"/>
    <col min="9" max="9" width="11" bestFit="1" customWidth="1"/>
    <col min="10" max="10" width="9.7265625" bestFit="1" customWidth="1"/>
    <col min="11" max="11" width="7" bestFit="1" customWidth="1"/>
    <col min="12" max="12" width="6" bestFit="1" customWidth="1"/>
    <col min="13" max="13" width="8" bestFit="1" customWidth="1"/>
    <col min="14" max="16" width="7" bestFit="1" customWidth="1"/>
    <col min="17" max="17" width="7.7265625" bestFit="1" customWidth="1"/>
    <col min="18" max="18" width="7.54296875" bestFit="1" customWidth="1"/>
    <col min="19" max="19" width="7.7265625" bestFit="1" customWidth="1"/>
    <col min="20" max="20" width="5" bestFit="1" customWidth="1"/>
    <col min="21" max="21" width="5.81640625" bestFit="1" customWidth="1"/>
    <col min="22" max="22" width="6.7265625" bestFit="1" customWidth="1"/>
    <col min="23" max="23" width="8" bestFit="1" customWidth="1"/>
    <col min="25" max="25" width="12.7265625" bestFit="1" customWidth="1"/>
    <col min="26" max="26" width="11.54296875" bestFit="1" customWidth="1"/>
    <col min="30" max="30" width="14" customWidth="1"/>
    <col min="31" max="31" width="11.7265625" bestFit="1" customWidth="1"/>
  </cols>
  <sheetData>
    <row r="1" spans="1:23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24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  <c r="U1" t="s">
        <v>19</v>
      </c>
      <c r="V1" t="s">
        <v>20</v>
      </c>
      <c r="W1" t="s">
        <v>21</v>
      </c>
    </row>
    <row r="2" spans="1:23" x14ac:dyDescent="0.35">
      <c r="A2">
        <v>980041500</v>
      </c>
      <c r="B2" t="s">
        <v>23</v>
      </c>
      <c r="C2">
        <v>2001</v>
      </c>
      <c r="D2">
        <v>1</v>
      </c>
      <c r="E2">
        <v>20</v>
      </c>
      <c r="F2">
        <v>15</v>
      </c>
      <c r="G2">
        <v>45</v>
      </c>
      <c r="H2" s="1">
        <f>(A2+2209125600)/86400</f>
        <v>36911.65625</v>
      </c>
      <c r="I2">
        <v>110.44330600000001</v>
      </c>
      <c r="J2">
        <v>-7.5469379999999999</v>
      </c>
      <c r="K2">
        <v>0.31</v>
      </c>
      <c r="L2">
        <v>0.34200000000000003</v>
      </c>
      <c r="M2">
        <v>156.74199999999999</v>
      </c>
      <c r="N2">
        <v>3.3069999999999999</v>
      </c>
      <c r="O2">
        <v>3.0350000000000001</v>
      </c>
      <c r="P2">
        <v>45.66</v>
      </c>
      <c r="Q2">
        <v>-98.95</v>
      </c>
      <c r="R2">
        <v>148.51</v>
      </c>
      <c r="S2">
        <v>-150.38</v>
      </c>
      <c r="T2">
        <v>895</v>
      </c>
      <c r="U2">
        <v>183</v>
      </c>
      <c r="V2">
        <v>-0.79700000000000004</v>
      </c>
      <c r="W2">
        <v>145.994</v>
      </c>
    </row>
    <row r="3" spans="1:23" x14ac:dyDescent="0.35">
      <c r="A3">
        <v>980041500</v>
      </c>
      <c r="B3" t="s">
        <v>23</v>
      </c>
      <c r="C3">
        <v>2001</v>
      </c>
      <c r="D3">
        <v>1</v>
      </c>
      <c r="E3">
        <v>20</v>
      </c>
      <c r="F3">
        <v>15</v>
      </c>
      <c r="G3">
        <v>45</v>
      </c>
      <c r="H3" s="1">
        <f>(A3+2209125600)/86400</f>
        <v>36911.65625</v>
      </c>
      <c r="I3">
        <v>110.437195</v>
      </c>
      <c r="J3">
        <v>-7.5354270000000003</v>
      </c>
      <c r="K3">
        <v>0.29099999999999998</v>
      </c>
      <c r="L3">
        <v>0.32400000000000001</v>
      </c>
      <c r="M3">
        <v>156.74199999999999</v>
      </c>
      <c r="N3">
        <v>3.169</v>
      </c>
      <c r="O3">
        <v>2.9</v>
      </c>
      <c r="P3">
        <v>45.66</v>
      </c>
      <c r="Q3">
        <v>-99.12</v>
      </c>
      <c r="R3">
        <v>148.51</v>
      </c>
      <c r="S3">
        <v>-150.36000000000001</v>
      </c>
      <c r="T3">
        <v>896</v>
      </c>
      <c r="U3">
        <v>183</v>
      </c>
      <c r="V3">
        <v>-0.79900000000000004</v>
      </c>
      <c r="W3">
        <v>146.09399999999999</v>
      </c>
    </row>
    <row r="4" spans="1:23" x14ac:dyDescent="0.35">
      <c r="A4">
        <v>980385600</v>
      </c>
      <c r="B4" t="s">
        <v>23</v>
      </c>
      <c r="C4">
        <v>2001</v>
      </c>
      <c r="D4">
        <v>1</v>
      </c>
      <c r="E4">
        <v>24</v>
      </c>
      <c r="F4">
        <v>15</v>
      </c>
      <c r="G4">
        <v>20</v>
      </c>
      <c r="H4" s="1">
        <f t="shared" ref="H4:H65" si="0">(A4+2209125600)/86400</f>
        <v>36915.638888888891</v>
      </c>
      <c r="I4">
        <v>110.438087</v>
      </c>
      <c r="J4">
        <v>-7.5380719999999997</v>
      </c>
      <c r="K4">
        <v>0.54900000000000004</v>
      </c>
      <c r="L4">
        <v>0.56100000000000005</v>
      </c>
      <c r="M4">
        <v>156.74199999999999</v>
      </c>
      <c r="N4">
        <v>3.1389999999999998</v>
      </c>
      <c r="O4">
        <v>2.944</v>
      </c>
      <c r="P4">
        <v>3.89</v>
      </c>
      <c r="Q4">
        <v>83.88</v>
      </c>
      <c r="R4">
        <v>145.69999999999999</v>
      </c>
      <c r="S4">
        <v>-140.38</v>
      </c>
      <c r="T4">
        <v>1137</v>
      </c>
      <c r="U4">
        <v>720</v>
      </c>
      <c r="V4">
        <v>-0.68</v>
      </c>
      <c r="W4">
        <v>142.41999999999999</v>
      </c>
    </row>
    <row r="5" spans="1:23" x14ac:dyDescent="0.35">
      <c r="A5">
        <v>980646600</v>
      </c>
      <c r="B5" t="s">
        <v>23</v>
      </c>
      <c r="C5">
        <v>2001</v>
      </c>
      <c r="D5">
        <v>1</v>
      </c>
      <c r="E5">
        <v>27</v>
      </c>
      <c r="F5">
        <v>15</v>
      </c>
      <c r="G5">
        <v>50</v>
      </c>
      <c r="H5" s="1">
        <f t="shared" si="0"/>
        <v>36918.659722222219</v>
      </c>
      <c r="I5">
        <v>110.437012</v>
      </c>
      <c r="J5">
        <v>-7.5415270000000003</v>
      </c>
      <c r="K5">
        <v>1.0720000000000001</v>
      </c>
      <c r="L5">
        <v>1.171</v>
      </c>
      <c r="M5">
        <v>156.74199999999999</v>
      </c>
      <c r="N5">
        <v>6.1529999999999996</v>
      </c>
      <c r="O5">
        <v>5.71</v>
      </c>
      <c r="P5">
        <v>53.49</v>
      </c>
      <c r="Q5">
        <v>-99.58</v>
      </c>
      <c r="R5">
        <v>150.46</v>
      </c>
      <c r="S5">
        <v>-149.94</v>
      </c>
      <c r="T5">
        <v>1388</v>
      </c>
      <c r="U5">
        <v>106</v>
      </c>
      <c r="V5">
        <v>-0.66</v>
      </c>
      <c r="W5">
        <v>140.482</v>
      </c>
    </row>
    <row r="6" spans="1:23" x14ac:dyDescent="0.35">
      <c r="A6">
        <v>980646600</v>
      </c>
      <c r="B6" t="s">
        <v>23</v>
      </c>
      <c r="C6">
        <v>2001</v>
      </c>
      <c r="D6">
        <v>1</v>
      </c>
      <c r="E6">
        <v>27</v>
      </c>
      <c r="F6">
        <v>15</v>
      </c>
      <c r="G6">
        <v>50</v>
      </c>
      <c r="H6" s="1">
        <f t="shared" si="0"/>
        <v>36918.659722222219</v>
      </c>
      <c r="I6">
        <v>110.46906300000001</v>
      </c>
      <c r="J6">
        <v>-7.5362039999999997</v>
      </c>
      <c r="K6">
        <v>0.89300000000000002</v>
      </c>
      <c r="L6">
        <v>0.82099999999999995</v>
      </c>
      <c r="M6">
        <v>156.74199999999999</v>
      </c>
      <c r="N6">
        <v>6.3</v>
      </c>
      <c r="O6">
        <v>5.8529999999999998</v>
      </c>
      <c r="P6">
        <v>53.49</v>
      </c>
      <c r="Q6">
        <v>-99.58</v>
      </c>
      <c r="R6">
        <v>150.52000000000001</v>
      </c>
      <c r="S6">
        <v>-149.99</v>
      </c>
      <c r="T6">
        <v>1388</v>
      </c>
      <c r="U6">
        <v>105</v>
      </c>
      <c r="V6">
        <v>-0.754</v>
      </c>
      <c r="W6">
        <v>140.45500000000001</v>
      </c>
    </row>
    <row r="7" spans="1:23" x14ac:dyDescent="0.35">
      <c r="A7">
        <v>980646600</v>
      </c>
      <c r="B7" t="s">
        <v>23</v>
      </c>
      <c r="C7">
        <v>2001</v>
      </c>
      <c r="D7">
        <v>1</v>
      </c>
      <c r="E7">
        <v>27</v>
      </c>
      <c r="F7">
        <v>15</v>
      </c>
      <c r="G7">
        <v>50</v>
      </c>
      <c r="H7" s="1">
        <f t="shared" si="0"/>
        <v>36918.659722222219</v>
      </c>
      <c r="I7">
        <v>110.43119799999999</v>
      </c>
      <c r="J7">
        <v>-7.5361570000000002</v>
      </c>
      <c r="K7">
        <v>0.69399999999999995</v>
      </c>
      <c r="L7">
        <v>0.77800000000000002</v>
      </c>
      <c r="M7">
        <v>156.74199999999999</v>
      </c>
      <c r="N7">
        <v>6.0919999999999996</v>
      </c>
      <c r="O7">
        <v>5.64</v>
      </c>
      <c r="P7">
        <v>53.49</v>
      </c>
      <c r="Q7">
        <v>-98.89</v>
      </c>
      <c r="R7">
        <v>150.52000000000001</v>
      </c>
      <c r="S7">
        <v>-149.93</v>
      </c>
      <c r="T7">
        <v>1392</v>
      </c>
      <c r="U7">
        <v>106</v>
      </c>
      <c r="V7">
        <v>-0.75800000000000001</v>
      </c>
      <c r="W7">
        <v>140.155</v>
      </c>
    </row>
    <row r="8" spans="1:23" x14ac:dyDescent="0.35">
      <c r="A8">
        <v>980646600</v>
      </c>
      <c r="B8" t="s">
        <v>23</v>
      </c>
      <c r="C8">
        <v>2001</v>
      </c>
      <c r="D8">
        <v>1</v>
      </c>
      <c r="E8">
        <v>27</v>
      </c>
      <c r="F8">
        <v>15</v>
      </c>
      <c r="G8">
        <v>50</v>
      </c>
      <c r="H8" s="1">
        <f t="shared" si="0"/>
        <v>36918.659722222219</v>
      </c>
      <c r="I8">
        <v>110.460373</v>
      </c>
      <c r="J8">
        <v>-7.5315560000000001</v>
      </c>
      <c r="K8">
        <v>1.075</v>
      </c>
      <c r="L8">
        <v>1.07</v>
      </c>
      <c r="M8">
        <v>156.74199999999999</v>
      </c>
      <c r="N8">
        <v>6.2130000000000001</v>
      </c>
      <c r="O8">
        <v>5.7759999999999998</v>
      </c>
      <c r="P8">
        <v>53.49</v>
      </c>
      <c r="Q8">
        <v>-98.89</v>
      </c>
      <c r="R8">
        <v>150.52000000000001</v>
      </c>
      <c r="S8">
        <v>-149.97</v>
      </c>
      <c r="T8">
        <v>1392</v>
      </c>
      <c r="U8">
        <v>105</v>
      </c>
      <c r="V8">
        <v>-0.68700000000000006</v>
      </c>
      <c r="W8">
        <v>140.12899999999999</v>
      </c>
    </row>
    <row r="9" spans="1:23" x14ac:dyDescent="0.35">
      <c r="A9">
        <v>982329000</v>
      </c>
      <c r="B9" t="s">
        <v>23</v>
      </c>
      <c r="C9">
        <v>2001</v>
      </c>
      <c r="D9">
        <v>2</v>
      </c>
      <c r="E9">
        <v>16</v>
      </c>
      <c r="F9">
        <v>3</v>
      </c>
      <c r="G9">
        <v>10</v>
      </c>
      <c r="H9" s="1">
        <f t="shared" si="0"/>
        <v>36938.131944444445</v>
      </c>
      <c r="I9">
        <v>110.44169599999999</v>
      </c>
      <c r="J9">
        <v>-7.5460799999999999</v>
      </c>
      <c r="K9">
        <v>2.6629999999999998</v>
      </c>
      <c r="L9">
        <v>-10</v>
      </c>
      <c r="M9">
        <v>10.49</v>
      </c>
      <c r="N9">
        <v>8.4689999999999994</v>
      </c>
      <c r="O9">
        <v>7.843</v>
      </c>
      <c r="P9">
        <v>9.57</v>
      </c>
      <c r="Q9">
        <v>98.61</v>
      </c>
      <c r="R9">
        <v>25.32</v>
      </c>
      <c r="S9">
        <v>102.84</v>
      </c>
      <c r="T9">
        <v>534</v>
      </c>
      <c r="U9">
        <v>571</v>
      </c>
      <c r="V9">
        <v>-0.55900000000000005</v>
      </c>
      <c r="W9">
        <v>35.176000000000002</v>
      </c>
    </row>
    <row r="10" spans="1:23" x14ac:dyDescent="0.35">
      <c r="A10">
        <v>982329000</v>
      </c>
      <c r="B10" t="s">
        <v>23</v>
      </c>
      <c r="C10">
        <v>2001</v>
      </c>
      <c r="D10">
        <v>2</v>
      </c>
      <c r="E10">
        <v>16</v>
      </c>
      <c r="F10">
        <v>3</v>
      </c>
      <c r="G10">
        <v>10</v>
      </c>
      <c r="H10" s="1">
        <f t="shared" si="0"/>
        <v>36938.131944444445</v>
      </c>
      <c r="I10">
        <v>110.443336</v>
      </c>
      <c r="J10">
        <v>-7.5370739999999996</v>
      </c>
      <c r="K10">
        <v>2.9929999999999999</v>
      </c>
      <c r="L10">
        <v>-10</v>
      </c>
      <c r="M10">
        <v>9.4499999999999993</v>
      </c>
      <c r="N10">
        <v>8.8740000000000006</v>
      </c>
      <c r="O10">
        <v>8.1950000000000003</v>
      </c>
      <c r="P10">
        <v>9.57</v>
      </c>
      <c r="Q10">
        <v>99.12</v>
      </c>
      <c r="R10">
        <v>25.32</v>
      </c>
      <c r="S10">
        <v>102.86</v>
      </c>
      <c r="T10">
        <v>533</v>
      </c>
      <c r="U10">
        <v>571</v>
      </c>
      <c r="V10">
        <v>-0.52</v>
      </c>
      <c r="W10">
        <v>35.180999999999997</v>
      </c>
    </row>
    <row r="11" spans="1:23" x14ac:dyDescent="0.35">
      <c r="A11">
        <v>982978200</v>
      </c>
      <c r="B11" t="s">
        <v>23</v>
      </c>
      <c r="C11">
        <v>2001</v>
      </c>
      <c r="D11">
        <v>2</v>
      </c>
      <c r="E11">
        <v>23</v>
      </c>
      <c r="F11">
        <v>15</v>
      </c>
      <c r="G11">
        <v>30</v>
      </c>
      <c r="H11" s="1">
        <f t="shared" si="0"/>
        <v>36945.645833333336</v>
      </c>
      <c r="I11">
        <v>110.43549299999999</v>
      </c>
      <c r="J11">
        <v>-7.5465730000000004</v>
      </c>
      <c r="K11">
        <v>0.622</v>
      </c>
      <c r="L11">
        <v>0.71399999999999997</v>
      </c>
      <c r="M11">
        <v>156.74199999999999</v>
      </c>
      <c r="N11">
        <v>6.4089999999999998</v>
      </c>
      <c r="O11">
        <v>6.0380000000000003</v>
      </c>
      <c r="P11">
        <v>25.29</v>
      </c>
      <c r="Q11">
        <v>-98.72</v>
      </c>
      <c r="R11">
        <v>154.30000000000001</v>
      </c>
      <c r="S11">
        <v>-129.93</v>
      </c>
      <c r="T11">
        <v>1896</v>
      </c>
      <c r="U11">
        <v>398</v>
      </c>
      <c r="V11">
        <v>-0.78900000000000003</v>
      </c>
      <c r="W11">
        <v>166.41900000000001</v>
      </c>
    </row>
    <row r="12" spans="1:23" x14ac:dyDescent="0.35">
      <c r="A12">
        <v>982978200</v>
      </c>
      <c r="B12" t="s">
        <v>23</v>
      </c>
      <c r="C12">
        <v>2001</v>
      </c>
      <c r="D12">
        <v>2</v>
      </c>
      <c r="E12">
        <v>23</v>
      </c>
      <c r="F12">
        <v>15</v>
      </c>
      <c r="G12">
        <v>30</v>
      </c>
      <c r="H12" s="1">
        <f t="shared" si="0"/>
        <v>36945.645833333336</v>
      </c>
      <c r="I12">
        <v>110.446747</v>
      </c>
      <c r="J12">
        <v>-7.5448899999999997</v>
      </c>
      <c r="K12">
        <v>3.1349999999999998</v>
      </c>
      <c r="L12">
        <v>-10</v>
      </c>
      <c r="M12">
        <v>156.74199999999999</v>
      </c>
      <c r="N12">
        <v>7.0860000000000003</v>
      </c>
      <c r="O12">
        <v>6.6879999999999997</v>
      </c>
      <c r="P12">
        <v>25.4</v>
      </c>
      <c r="Q12">
        <v>-98.72</v>
      </c>
      <c r="R12">
        <v>154.30000000000001</v>
      </c>
      <c r="S12">
        <v>-129.94999999999999</v>
      </c>
      <c r="T12">
        <v>1896</v>
      </c>
      <c r="U12">
        <v>397</v>
      </c>
      <c r="V12">
        <v>-0.36199999999999999</v>
      </c>
      <c r="W12">
        <v>166.399</v>
      </c>
    </row>
    <row r="13" spans="1:23" x14ac:dyDescent="0.35">
      <c r="A13">
        <v>982978200</v>
      </c>
      <c r="B13" t="s">
        <v>23</v>
      </c>
      <c r="C13">
        <v>2001</v>
      </c>
      <c r="D13">
        <v>2</v>
      </c>
      <c r="E13">
        <v>23</v>
      </c>
      <c r="F13">
        <v>15</v>
      </c>
      <c r="G13">
        <v>30</v>
      </c>
      <c r="H13" s="1">
        <f t="shared" si="0"/>
        <v>36945.645833333336</v>
      </c>
      <c r="I13">
        <v>110.432976</v>
      </c>
      <c r="J13">
        <v>-7.5369609999999998</v>
      </c>
      <c r="K13">
        <v>0.67500000000000004</v>
      </c>
      <c r="L13">
        <v>0.82699999999999996</v>
      </c>
      <c r="M13">
        <v>156.74199999999999</v>
      </c>
      <c r="N13">
        <v>6.21</v>
      </c>
      <c r="O13">
        <v>5.8460000000000001</v>
      </c>
      <c r="P13">
        <v>25.29</v>
      </c>
      <c r="Q13">
        <v>-98.89</v>
      </c>
      <c r="R13">
        <v>154.30000000000001</v>
      </c>
      <c r="S13">
        <v>-129.91</v>
      </c>
      <c r="T13">
        <v>1897</v>
      </c>
      <c r="U13">
        <v>398</v>
      </c>
      <c r="V13">
        <v>-0.752</v>
      </c>
      <c r="W13">
        <v>166.501</v>
      </c>
    </row>
    <row r="14" spans="1:23" x14ac:dyDescent="0.35">
      <c r="A14">
        <v>982978200</v>
      </c>
      <c r="B14" t="s">
        <v>23</v>
      </c>
      <c r="C14">
        <v>2001</v>
      </c>
      <c r="D14">
        <v>2</v>
      </c>
      <c r="E14">
        <v>23</v>
      </c>
      <c r="F14">
        <v>15</v>
      </c>
      <c r="G14">
        <v>30</v>
      </c>
      <c r="H14" s="1">
        <f t="shared" si="0"/>
        <v>36945.645833333336</v>
      </c>
      <c r="I14">
        <v>110.44459500000001</v>
      </c>
      <c r="J14">
        <v>-7.5352119999999996</v>
      </c>
      <c r="K14">
        <v>2.637</v>
      </c>
      <c r="L14">
        <v>-10</v>
      </c>
      <c r="M14">
        <v>156.74199999999999</v>
      </c>
      <c r="N14">
        <v>6.67</v>
      </c>
      <c r="O14">
        <v>6.3150000000000004</v>
      </c>
      <c r="P14">
        <v>25.4</v>
      </c>
      <c r="Q14">
        <v>-98.89</v>
      </c>
      <c r="R14">
        <v>154.30000000000001</v>
      </c>
      <c r="S14">
        <v>-129.93</v>
      </c>
      <c r="T14">
        <v>1897</v>
      </c>
      <c r="U14">
        <v>397</v>
      </c>
      <c r="V14">
        <v>-0.41099999999999998</v>
      </c>
      <c r="W14">
        <v>166.48099999999999</v>
      </c>
    </row>
    <row r="15" spans="1:23" x14ac:dyDescent="0.35">
      <c r="A15">
        <v>983150400</v>
      </c>
      <c r="B15" t="s">
        <v>23</v>
      </c>
      <c r="C15">
        <v>2001</v>
      </c>
      <c r="D15">
        <v>2</v>
      </c>
      <c r="E15">
        <v>25</v>
      </c>
      <c r="F15">
        <v>15</v>
      </c>
      <c r="G15">
        <v>20</v>
      </c>
      <c r="H15" s="1">
        <f t="shared" si="0"/>
        <v>36947.638888888891</v>
      </c>
      <c r="I15">
        <v>110.434158</v>
      </c>
      <c r="J15">
        <v>-7.5447480000000002</v>
      </c>
      <c r="K15">
        <v>2.4550000000000001</v>
      </c>
      <c r="L15">
        <v>-10</v>
      </c>
      <c r="M15">
        <v>156.45400000000001</v>
      </c>
      <c r="N15">
        <v>8.0389999999999997</v>
      </c>
      <c r="O15">
        <v>7.48</v>
      </c>
      <c r="P15">
        <v>3.43</v>
      </c>
      <c r="Q15">
        <v>87.2</v>
      </c>
      <c r="R15">
        <v>152.41</v>
      </c>
      <c r="S15">
        <v>-125.49</v>
      </c>
      <c r="T15">
        <v>949</v>
      </c>
      <c r="U15">
        <v>715</v>
      </c>
      <c r="V15">
        <v>-0.50600000000000001</v>
      </c>
      <c r="W15">
        <v>149.00299999999999</v>
      </c>
    </row>
    <row r="16" spans="1:23" x14ac:dyDescent="0.35">
      <c r="A16">
        <v>983150400</v>
      </c>
      <c r="B16" t="s">
        <v>23</v>
      </c>
      <c r="C16">
        <v>2001</v>
      </c>
      <c r="D16">
        <v>2</v>
      </c>
      <c r="E16">
        <v>25</v>
      </c>
      <c r="F16">
        <v>15</v>
      </c>
      <c r="G16">
        <v>20</v>
      </c>
      <c r="H16" s="1">
        <f t="shared" si="0"/>
        <v>36947.638888888891</v>
      </c>
      <c r="I16">
        <v>110.443398</v>
      </c>
      <c r="J16">
        <v>-7.5434729999999997</v>
      </c>
      <c r="K16">
        <v>8.0609999999999999</v>
      </c>
      <c r="L16">
        <v>-10</v>
      </c>
      <c r="M16">
        <v>156.45400000000001</v>
      </c>
      <c r="N16">
        <v>8.8810000000000002</v>
      </c>
      <c r="O16">
        <v>8.4209999999999994</v>
      </c>
      <c r="P16">
        <v>3.37</v>
      </c>
      <c r="Q16">
        <v>87.32</v>
      </c>
      <c r="R16">
        <v>152.41</v>
      </c>
      <c r="S16">
        <v>-125.49</v>
      </c>
      <c r="T16">
        <v>949</v>
      </c>
      <c r="U16">
        <v>714</v>
      </c>
      <c r="V16">
        <v>-2.1999999999999999E-2</v>
      </c>
      <c r="W16">
        <v>149.06299999999999</v>
      </c>
    </row>
    <row r="17" spans="1:23" x14ac:dyDescent="0.35">
      <c r="A17">
        <v>983367300</v>
      </c>
      <c r="B17" t="s">
        <v>23</v>
      </c>
      <c r="C17">
        <v>2001</v>
      </c>
      <c r="D17">
        <v>2</v>
      </c>
      <c r="E17">
        <v>28</v>
      </c>
      <c r="F17">
        <v>3</v>
      </c>
      <c r="G17">
        <v>35</v>
      </c>
      <c r="H17" s="1">
        <f t="shared" si="0"/>
        <v>36950.149305555555</v>
      </c>
      <c r="I17">
        <v>110.45210299999999</v>
      </c>
      <c r="J17">
        <v>-7.5450780000000002</v>
      </c>
      <c r="K17">
        <v>3.4660000000000002</v>
      </c>
      <c r="L17">
        <v>-10</v>
      </c>
      <c r="M17">
        <v>16.015000000000001</v>
      </c>
      <c r="N17">
        <v>7.194</v>
      </c>
      <c r="O17">
        <v>6.6219999999999999</v>
      </c>
      <c r="P17">
        <v>42.3</v>
      </c>
      <c r="Q17">
        <v>-82.96</v>
      </c>
      <c r="R17">
        <v>18.68</v>
      </c>
      <c r="S17">
        <v>92.56</v>
      </c>
      <c r="T17">
        <v>160</v>
      </c>
      <c r="U17">
        <v>1138</v>
      </c>
      <c r="V17">
        <v>-0.40799999999999997</v>
      </c>
      <c r="W17">
        <v>23.626000000000001</v>
      </c>
    </row>
    <row r="18" spans="1:23" x14ac:dyDescent="0.35">
      <c r="A18">
        <v>983539200</v>
      </c>
      <c r="B18" t="s">
        <v>23</v>
      </c>
      <c r="C18">
        <v>2001</v>
      </c>
      <c r="D18">
        <v>3</v>
      </c>
      <c r="E18">
        <v>2</v>
      </c>
      <c r="F18">
        <v>3</v>
      </c>
      <c r="G18">
        <v>20</v>
      </c>
      <c r="H18" s="1">
        <f t="shared" si="0"/>
        <v>36952.138888888891</v>
      </c>
      <c r="I18">
        <v>110.442879</v>
      </c>
      <c r="J18">
        <v>-7.5438640000000001</v>
      </c>
      <c r="K18">
        <v>4.5369999999999999</v>
      </c>
      <c r="L18">
        <v>-10</v>
      </c>
      <c r="M18">
        <v>10.454000000000001</v>
      </c>
      <c r="N18">
        <v>9.2460000000000004</v>
      </c>
      <c r="O18">
        <v>8.5359999999999996</v>
      </c>
      <c r="P18">
        <v>19.36</v>
      </c>
      <c r="Q18">
        <v>-82.1</v>
      </c>
      <c r="R18">
        <v>21.66</v>
      </c>
      <c r="S18">
        <v>90.63</v>
      </c>
      <c r="T18">
        <v>1244</v>
      </c>
      <c r="U18">
        <v>891</v>
      </c>
      <c r="V18">
        <v>-0.35199999999999998</v>
      </c>
      <c r="W18">
        <v>4.0010000000000003</v>
      </c>
    </row>
    <row r="19" spans="1:23" x14ac:dyDescent="0.35">
      <c r="A19">
        <v>984144300</v>
      </c>
      <c r="B19" t="s">
        <v>23</v>
      </c>
      <c r="C19">
        <v>2001</v>
      </c>
      <c r="D19">
        <v>3</v>
      </c>
      <c r="E19">
        <v>9</v>
      </c>
      <c r="F19">
        <v>3</v>
      </c>
      <c r="G19">
        <v>25</v>
      </c>
      <c r="H19" s="1">
        <f t="shared" si="0"/>
        <v>36959.142361111109</v>
      </c>
      <c r="I19">
        <v>110.45307200000001</v>
      </c>
      <c r="J19">
        <v>-7.5388700000000002</v>
      </c>
      <c r="K19">
        <v>2.7629999999999999</v>
      </c>
      <c r="L19">
        <v>-10</v>
      </c>
      <c r="M19">
        <v>11.343999999999999</v>
      </c>
      <c r="N19">
        <v>8.1630000000000003</v>
      </c>
      <c r="O19">
        <v>7.57</v>
      </c>
      <c r="P19">
        <v>31.56</v>
      </c>
      <c r="Q19">
        <v>-81.760000000000005</v>
      </c>
      <c r="R19">
        <v>20.11</v>
      </c>
      <c r="S19">
        <v>82.91</v>
      </c>
      <c r="T19">
        <v>1547</v>
      </c>
      <c r="U19">
        <v>1024</v>
      </c>
      <c r="V19">
        <v>-0.53700000000000003</v>
      </c>
      <c r="W19">
        <v>12.441000000000001</v>
      </c>
    </row>
    <row r="20" spans="1:23" x14ac:dyDescent="0.35">
      <c r="A20">
        <v>984188700</v>
      </c>
      <c r="B20" t="s">
        <v>23</v>
      </c>
      <c r="C20">
        <v>2001</v>
      </c>
      <c r="D20">
        <v>3</v>
      </c>
      <c r="E20">
        <v>9</v>
      </c>
      <c r="F20">
        <v>15</v>
      </c>
      <c r="G20">
        <v>45</v>
      </c>
      <c r="H20" s="1">
        <f t="shared" si="0"/>
        <v>36959.65625</v>
      </c>
      <c r="I20">
        <v>110.454247</v>
      </c>
      <c r="J20">
        <v>-7.5451240000000004</v>
      </c>
      <c r="K20">
        <v>1.2929999999999999</v>
      </c>
      <c r="L20">
        <v>1.278</v>
      </c>
      <c r="M20">
        <v>156.74199999999999</v>
      </c>
      <c r="N20">
        <v>7.3090000000000002</v>
      </c>
      <c r="O20">
        <v>6.8529999999999998</v>
      </c>
      <c r="P20">
        <v>45.66</v>
      </c>
      <c r="Q20">
        <v>-99.12</v>
      </c>
      <c r="R20">
        <v>160.43</v>
      </c>
      <c r="S20">
        <v>-126.23</v>
      </c>
      <c r="T20">
        <v>496</v>
      </c>
      <c r="U20">
        <v>182</v>
      </c>
      <c r="V20">
        <v>-0.68600000000000005</v>
      </c>
      <c r="W20">
        <v>150.84299999999999</v>
      </c>
    </row>
    <row r="21" spans="1:23" x14ac:dyDescent="0.35">
      <c r="A21">
        <v>984188700</v>
      </c>
      <c r="B21" t="s">
        <v>23</v>
      </c>
      <c r="C21">
        <v>2001</v>
      </c>
      <c r="D21">
        <v>3</v>
      </c>
      <c r="E21">
        <v>9</v>
      </c>
      <c r="F21">
        <v>15</v>
      </c>
      <c r="G21">
        <v>45</v>
      </c>
      <c r="H21" s="1">
        <f t="shared" si="0"/>
        <v>36959.65625</v>
      </c>
      <c r="I21">
        <v>110.43141199999999</v>
      </c>
      <c r="J21">
        <v>-7.5362629999999999</v>
      </c>
      <c r="K21">
        <v>0.69399999999999995</v>
      </c>
      <c r="L21">
        <v>0.79100000000000004</v>
      </c>
      <c r="M21">
        <v>156.74199999999999</v>
      </c>
      <c r="N21">
        <v>7.258</v>
      </c>
      <c r="O21">
        <v>6.7850000000000001</v>
      </c>
      <c r="P21">
        <v>45.66</v>
      </c>
      <c r="Q21">
        <v>-99.24</v>
      </c>
      <c r="R21">
        <v>160.43</v>
      </c>
      <c r="S21">
        <v>-126.17</v>
      </c>
      <c r="T21">
        <v>497</v>
      </c>
      <c r="U21">
        <v>183</v>
      </c>
      <c r="V21">
        <v>-0.79100000000000004</v>
      </c>
      <c r="W21">
        <v>150.892</v>
      </c>
    </row>
    <row r="22" spans="1:23" x14ac:dyDescent="0.35">
      <c r="A22">
        <v>984188700</v>
      </c>
      <c r="B22" t="s">
        <v>23</v>
      </c>
      <c r="C22">
        <v>2001</v>
      </c>
      <c r="D22">
        <v>3</v>
      </c>
      <c r="E22">
        <v>9</v>
      </c>
      <c r="F22">
        <v>15</v>
      </c>
      <c r="G22">
        <v>45</v>
      </c>
      <c r="H22" s="1">
        <f t="shared" si="0"/>
        <v>36959.65625</v>
      </c>
      <c r="I22">
        <v>110.451859</v>
      </c>
      <c r="J22">
        <v>-7.5330000000000004</v>
      </c>
      <c r="K22">
        <v>1.5</v>
      </c>
      <c r="L22">
        <v>1.4330000000000001</v>
      </c>
      <c r="M22">
        <v>156.74199999999999</v>
      </c>
      <c r="N22">
        <v>7.3</v>
      </c>
      <c r="O22">
        <v>6.8620000000000001</v>
      </c>
      <c r="P22">
        <v>45.66</v>
      </c>
      <c r="Q22">
        <v>-99.24</v>
      </c>
      <c r="R22">
        <v>160.43</v>
      </c>
      <c r="S22">
        <v>-126.2</v>
      </c>
      <c r="T22">
        <v>497</v>
      </c>
      <c r="U22">
        <v>182</v>
      </c>
      <c r="V22">
        <v>-0.65400000000000003</v>
      </c>
      <c r="W22">
        <v>150.87200000000001</v>
      </c>
    </row>
    <row r="23" spans="1:23" x14ac:dyDescent="0.35">
      <c r="A23">
        <v>984532800</v>
      </c>
      <c r="B23" t="s">
        <v>23</v>
      </c>
      <c r="C23">
        <v>2001</v>
      </c>
      <c r="D23">
        <v>3</v>
      </c>
      <c r="E23">
        <v>13</v>
      </c>
      <c r="F23">
        <v>15</v>
      </c>
      <c r="G23">
        <v>20</v>
      </c>
      <c r="H23" s="1">
        <f t="shared" si="0"/>
        <v>36963.638888888891</v>
      </c>
      <c r="I23">
        <v>110.43575300000001</v>
      </c>
      <c r="J23">
        <v>-7.5449989999999998</v>
      </c>
      <c r="K23">
        <v>0.63800000000000001</v>
      </c>
      <c r="L23">
        <v>0.72299999999999998</v>
      </c>
      <c r="M23">
        <v>156.74199999999999</v>
      </c>
      <c r="N23">
        <v>4.7729999999999997</v>
      </c>
      <c r="O23">
        <v>4.5650000000000004</v>
      </c>
      <c r="P23">
        <v>4.5599999999999996</v>
      </c>
      <c r="Q23">
        <v>82.45</v>
      </c>
      <c r="R23">
        <v>156.19</v>
      </c>
      <c r="S23">
        <v>-114.39</v>
      </c>
      <c r="T23">
        <v>606</v>
      </c>
      <c r="U23">
        <v>728</v>
      </c>
      <c r="V23">
        <v>-0.72699999999999998</v>
      </c>
      <c r="W23">
        <v>151.44999999999999</v>
      </c>
    </row>
    <row r="24" spans="1:23" x14ac:dyDescent="0.35">
      <c r="A24">
        <v>984532800</v>
      </c>
      <c r="B24" t="s">
        <v>23</v>
      </c>
      <c r="C24">
        <v>2001</v>
      </c>
      <c r="D24">
        <v>3</v>
      </c>
      <c r="E24">
        <v>13</v>
      </c>
      <c r="F24">
        <v>15</v>
      </c>
      <c r="G24">
        <v>20</v>
      </c>
      <c r="H24" s="1">
        <f t="shared" si="0"/>
        <v>36963.638888888891</v>
      </c>
      <c r="I24">
        <v>110.44471</v>
      </c>
      <c r="J24">
        <v>-7.5437399999999997</v>
      </c>
      <c r="K24">
        <v>1.012</v>
      </c>
      <c r="L24">
        <v>0.96199999999999997</v>
      </c>
      <c r="M24">
        <v>156.74199999999999</v>
      </c>
      <c r="N24">
        <v>4.8739999999999997</v>
      </c>
      <c r="O24">
        <v>4.665</v>
      </c>
      <c r="P24">
        <v>4.5</v>
      </c>
      <c r="Q24">
        <v>82.51</v>
      </c>
      <c r="R24">
        <v>156.19</v>
      </c>
      <c r="S24">
        <v>-114.4</v>
      </c>
      <c r="T24">
        <v>606</v>
      </c>
      <c r="U24">
        <v>727</v>
      </c>
      <c r="V24">
        <v>-0.65800000000000003</v>
      </c>
      <c r="W24">
        <v>151.51400000000001</v>
      </c>
    </row>
    <row r="25" spans="1:23" x14ac:dyDescent="0.35">
      <c r="A25">
        <v>984921600</v>
      </c>
      <c r="B25" t="s">
        <v>23</v>
      </c>
      <c r="C25">
        <v>2001</v>
      </c>
      <c r="D25">
        <v>3</v>
      </c>
      <c r="E25">
        <v>18</v>
      </c>
      <c r="F25">
        <v>3</v>
      </c>
      <c r="G25">
        <v>20</v>
      </c>
      <c r="H25" s="1">
        <f t="shared" si="0"/>
        <v>36968.138888888891</v>
      </c>
      <c r="I25">
        <v>110.44607499999999</v>
      </c>
      <c r="J25">
        <v>-7.5409759999999997</v>
      </c>
      <c r="K25">
        <v>3.2549999999999999</v>
      </c>
      <c r="L25">
        <v>-10</v>
      </c>
      <c r="M25">
        <v>19.405999999999999</v>
      </c>
      <c r="N25">
        <v>8.0030000000000001</v>
      </c>
      <c r="O25">
        <v>7.4329999999999998</v>
      </c>
      <c r="P25">
        <v>18.579999999999998</v>
      </c>
      <c r="Q25">
        <v>-81.819999999999993</v>
      </c>
      <c r="R25">
        <v>21.94</v>
      </c>
      <c r="S25">
        <v>74</v>
      </c>
      <c r="T25">
        <v>965</v>
      </c>
      <c r="U25">
        <v>883</v>
      </c>
      <c r="V25">
        <v>-0.50800000000000001</v>
      </c>
      <c r="W25">
        <v>9.2590000000000003</v>
      </c>
    </row>
    <row r="26" spans="1:23" x14ac:dyDescent="0.35">
      <c r="A26">
        <v>984965700</v>
      </c>
      <c r="B26" t="s">
        <v>23</v>
      </c>
      <c r="C26">
        <v>2001</v>
      </c>
      <c r="D26">
        <v>3</v>
      </c>
      <c r="E26">
        <v>18</v>
      </c>
      <c r="F26">
        <v>15</v>
      </c>
      <c r="G26">
        <v>35</v>
      </c>
      <c r="H26" s="1">
        <f t="shared" si="0"/>
        <v>36968.649305555555</v>
      </c>
      <c r="I26">
        <v>110.43395200000001</v>
      </c>
      <c r="J26">
        <v>-7.538627</v>
      </c>
      <c r="K26">
        <v>1.056</v>
      </c>
      <c r="L26">
        <v>1.2010000000000001</v>
      </c>
      <c r="M26">
        <v>156.74199999999999</v>
      </c>
      <c r="N26">
        <v>5.798</v>
      </c>
      <c r="O26">
        <v>5.4939999999999998</v>
      </c>
      <c r="P26">
        <v>36.03</v>
      </c>
      <c r="Q26">
        <v>-98.43</v>
      </c>
      <c r="R26">
        <v>161.46</v>
      </c>
      <c r="S26">
        <v>-114.29</v>
      </c>
      <c r="T26">
        <v>1963</v>
      </c>
      <c r="U26">
        <v>282</v>
      </c>
      <c r="V26">
        <v>-0.64100000000000001</v>
      </c>
      <c r="W26">
        <v>162.108</v>
      </c>
    </row>
    <row r="27" spans="1:23" x14ac:dyDescent="0.35">
      <c r="A27">
        <v>984965700</v>
      </c>
      <c r="B27" t="s">
        <v>23</v>
      </c>
      <c r="C27">
        <v>2001</v>
      </c>
      <c r="D27">
        <v>3</v>
      </c>
      <c r="E27">
        <v>18</v>
      </c>
      <c r="F27">
        <v>15</v>
      </c>
      <c r="G27">
        <v>35</v>
      </c>
      <c r="H27" s="1">
        <f t="shared" si="0"/>
        <v>36968.649305555555</v>
      </c>
      <c r="I27">
        <v>110.449791</v>
      </c>
      <c r="J27">
        <v>-7.5362429999999998</v>
      </c>
      <c r="K27">
        <v>2.2090000000000001</v>
      </c>
      <c r="L27">
        <v>-10</v>
      </c>
      <c r="M27">
        <v>156.74199999999999</v>
      </c>
      <c r="N27">
        <v>5.62</v>
      </c>
      <c r="O27">
        <v>5.3380000000000001</v>
      </c>
      <c r="P27">
        <v>36.26</v>
      </c>
      <c r="Q27">
        <v>-98.43</v>
      </c>
      <c r="R27">
        <v>161.52000000000001</v>
      </c>
      <c r="S27">
        <v>-114.3</v>
      </c>
      <c r="T27">
        <v>1963</v>
      </c>
      <c r="U27">
        <v>281</v>
      </c>
      <c r="V27">
        <v>-0.41499999999999998</v>
      </c>
      <c r="W27">
        <v>161.87899999999999</v>
      </c>
    </row>
    <row r="28" spans="1:23" x14ac:dyDescent="0.35">
      <c r="A28">
        <v>986953500</v>
      </c>
      <c r="B28" t="s">
        <v>23</v>
      </c>
      <c r="C28">
        <v>2001</v>
      </c>
      <c r="D28">
        <v>4</v>
      </c>
      <c r="E28">
        <v>10</v>
      </c>
      <c r="F28">
        <v>15</v>
      </c>
      <c r="G28">
        <v>45</v>
      </c>
      <c r="H28" s="1">
        <f t="shared" si="0"/>
        <v>36991.65625</v>
      </c>
      <c r="I28">
        <v>110.45098900000001</v>
      </c>
      <c r="J28">
        <v>-7.5400369999999999</v>
      </c>
      <c r="K28">
        <v>1.7709999999999999</v>
      </c>
      <c r="L28">
        <v>1.768</v>
      </c>
      <c r="M28">
        <v>156.74199999999999</v>
      </c>
      <c r="N28">
        <v>7.6950000000000003</v>
      </c>
      <c r="O28">
        <v>7.2610000000000001</v>
      </c>
      <c r="P28">
        <v>45.88</v>
      </c>
      <c r="Q28">
        <v>-99.24</v>
      </c>
      <c r="R28">
        <v>166.67</v>
      </c>
      <c r="S28">
        <v>-86.57</v>
      </c>
      <c r="T28">
        <v>237</v>
      </c>
      <c r="U28">
        <v>181</v>
      </c>
      <c r="V28">
        <v>-0.60799999999999998</v>
      </c>
      <c r="W28">
        <v>147.16999999999999</v>
      </c>
    </row>
    <row r="29" spans="1:23" x14ac:dyDescent="0.35">
      <c r="A29">
        <v>986953500</v>
      </c>
      <c r="B29" t="s">
        <v>23</v>
      </c>
      <c r="C29">
        <v>2001</v>
      </c>
      <c r="D29">
        <v>4</v>
      </c>
      <c r="E29">
        <v>10</v>
      </c>
      <c r="F29">
        <v>15</v>
      </c>
      <c r="G29">
        <v>45</v>
      </c>
      <c r="H29" s="1">
        <f t="shared" si="0"/>
        <v>36991.65625</v>
      </c>
      <c r="I29">
        <v>110.43911</v>
      </c>
      <c r="J29">
        <v>-7.5375800000000002</v>
      </c>
      <c r="K29">
        <v>1.28</v>
      </c>
      <c r="L29">
        <v>1.675</v>
      </c>
      <c r="M29">
        <v>156.74199999999999</v>
      </c>
      <c r="N29">
        <v>7.69</v>
      </c>
      <c r="O29">
        <v>7.2249999999999996</v>
      </c>
      <c r="P29">
        <v>45.88</v>
      </c>
      <c r="Q29">
        <v>-98.32</v>
      </c>
      <c r="R29">
        <v>166.62</v>
      </c>
      <c r="S29">
        <v>-86.56</v>
      </c>
      <c r="T29">
        <v>240</v>
      </c>
      <c r="U29">
        <v>181</v>
      </c>
      <c r="V29">
        <v>-0.624</v>
      </c>
      <c r="W29">
        <v>147.24</v>
      </c>
    </row>
    <row r="30" spans="1:23" x14ac:dyDescent="0.35">
      <c r="A30">
        <v>987297600</v>
      </c>
      <c r="B30" t="s">
        <v>23</v>
      </c>
      <c r="C30">
        <v>2001</v>
      </c>
      <c r="D30">
        <v>4</v>
      </c>
      <c r="E30">
        <v>14</v>
      </c>
      <c r="F30">
        <v>15</v>
      </c>
      <c r="G30">
        <v>20</v>
      </c>
      <c r="H30" s="1">
        <f t="shared" si="0"/>
        <v>36995.638888888891</v>
      </c>
      <c r="I30">
        <v>110.436684</v>
      </c>
      <c r="J30">
        <v>-7.5428699999999997</v>
      </c>
      <c r="K30">
        <v>1.3149999999999999</v>
      </c>
      <c r="L30">
        <v>1.3979999999999999</v>
      </c>
      <c r="M30">
        <v>156.74199999999999</v>
      </c>
      <c r="N30">
        <v>6.5869999999999997</v>
      </c>
      <c r="O30">
        <v>6.1180000000000003</v>
      </c>
      <c r="P30">
        <v>3.72</v>
      </c>
      <c r="Q30">
        <v>85.37</v>
      </c>
      <c r="R30">
        <v>160.77000000000001</v>
      </c>
      <c r="S30">
        <v>-82.59</v>
      </c>
      <c r="T30">
        <v>448</v>
      </c>
      <c r="U30">
        <v>718</v>
      </c>
      <c r="V30">
        <v>-0.628</v>
      </c>
      <c r="W30">
        <v>156.857</v>
      </c>
    </row>
    <row r="31" spans="1:23" x14ac:dyDescent="0.35">
      <c r="A31">
        <v>987297600</v>
      </c>
      <c r="B31" t="s">
        <v>23</v>
      </c>
      <c r="C31">
        <v>2001</v>
      </c>
      <c r="D31">
        <v>4</v>
      </c>
      <c r="E31">
        <v>14</v>
      </c>
      <c r="F31">
        <v>15</v>
      </c>
      <c r="G31">
        <v>20</v>
      </c>
      <c r="H31" s="1">
        <f t="shared" si="0"/>
        <v>36995.638888888891</v>
      </c>
      <c r="I31">
        <v>110.445587</v>
      </c>
      <c r="J31">
        <v>-7.5416129999999999</v>
      </c>
      <c r="K31">
        <v>1.069</v>
      </c>
      <c r="L31">
        <v>0.97</v>
      </c>
      <c r="M31">
        <v>156.74199999999999</v>
      </c>
      <c r="N31">
        <v>6.4880000000000004</v>
      </c>
      <c r="O31">
        <v>6.11</v>
      </c>
      <c r="P31">
        <v>3.61</v>
      </c>
      <c r="Q31">
        <v>85.43</v>
      </c>
      <c r="R31">
        <v>160.77000000000001</v>
      </c>
      <c r="S31">
        <v>-82.58</v>
      </c>
      <c r="T31">
        <v>448</v>
      </c>
      <c r="U31">
        <v>717</v>
      </c>
      <c r="V31">
        <v>-0.72599999999999998</v>
      </c>
      <c r="W31">
        <v>156.97499999999999</v>
      </c>
    </row>
    <row r="32" spans="1:23" x14ac:dyDescent="0.35">
      <c r="A32">
        <v>987730500</v>
      </c>
      <c r="B32" t="s">
        <v>23</v>
      </c>
      <c r="C32">
        <v>2001</v>
      </c>
      <c r="D32">
        <v>4</v>
      </c>
      <c r="E32">
        <v>19</v>
      </c>
      <c r="F32">
        <v>15</v>
      </c>
      <c r="G32">
        <v>35</v>
      </c>
      <c r="H32" s="1">
        <f t="shared" si="0"/>
        <v>37000.649305555555</v>
      </c>
      <c r="I32">
        <v>110.43940000000001</v>
      </c>
      <c r="J32">
        <v>-7.5440560000000003</v>
      </c>
      <c r="K32">
        <v>0.83299999999999996</v>
      </c>
      <c r="L32">
        <v>0.86099999999999999</v>
      </c>
      <c r="M32">
        <v>156.74199999999999</v>
      </c>
      <c r="N32">
        <v>7.5439999999999996</v>
      </c>
      <c r="O32">
        <v>7.1719999999999997</v>
      </c>
      <c r="P32">
        <v>36.71</v>
      </c>
      <c r="Q32">
        <v>-99.01</v>
      </c>
      <c r="R32">
        <v>165.24</v>
      </c>
      <c r="S32">
        <v>-74.91</v>
      </c>
      <c r="T32">
        <v>1807</v>
      </c>
      <c r="U32">
        <v>275</v>
      </c>
      <c r="V32">
        <v>-0.78600000000000003</v>
      </c>
      <c r="W32">
        <v>156.934</v>
      </c>
    </row>
    <row r="33" spans="1:23" x14ac:dyDescent="0.35">
      <c r="A33">
        <v>987902700</v>
      </c>
      <c r="B33" t="s">
        <v>23</v>
      </c>
      <c r="C33">
        <v>2001</v>
      </c>
      <c r="D33">
        <v>4</v>
      </c>
      <c r="E33">
        <v>21</v>
      </c>
      <c r="F33">
        <v>15</v>
      </c>
      <c r="G33">
        <v>25</v>
      </c>
      <c r="H33" s="1">
        <f t="shared" si="0"/>
        <v>37002.642361111109</v>
      </c>
      <c r="I33">
        <v>110.443192</v>
      </c>
      <c r="J33">
        <v>-7.5408470000000003</v>
      </c>
      <c r="K33">
        <v>0.98699999999999999</v>
      </c>
      <c r="L33">
        <v>1.006</v>
      </c>
      <c r="M33">
        <v>156.74199999999999</v>
      </c>
      <c r="N33">
        <v>7.0049999999999999</v>
      </c>
      <c r="O33">
        <v>6.6289999999999996</v>
      </c>
      <c r="P33">
        <v>11.58</v>
      </c>
      <c r="Q33">
        <v>-98.15</v>
      </c>
      <c r="R33">
        <v>162.26</v>
      </c>
      <c r="S33">
        <v>-74.37</v>
      </c>
      <c r="T33">
        <v>885</v>
      </c>
      <c r="U33">
        <v>548</v>
      </c>
      <c r="V33">
        <v>-0.73599999999999999</v>
      </c>
      <c r="W33">
        <v>171.077</v>
      </c>
    </row>
    <row r="34" spans="1:23" x14ac:dyDescent="0.35">
      <c r="A34">
        <v>988335900</v>
      </c>
      <c r="B34" t="s">
        <v>23</v>
      </c>
      <c r="C34">
        <v>2001</v>
      </c>
      <c r="D34">
        <v>4</v>
      </c>
      <c r="E34">
        <v>26</v>
      </c>
      <c r="F34">
        <v>15</v>
      </c>
      <c r="G34">
        <v>45</v>
      </c>
      <c r="H34" s="1">
        <f t="shared" si="0"/>
        <v>37007.65625</v>
      </c>
      <c r="I34">
        <v>110.448341</v>
      </c>
      <c r="J34">
        <v>-7.5451259999999998</v>
      </c>
      <c r="K34">
        <v>1.4</v>
      </c>
      <c r="L34">
        <v>1.4930000000000001</v>
      </c>
      <c r="M34">
        <v>156.74199999999999</v>
      </c>
      <c r="N34">
        <v>7.3920000000000003</v>
      </c>
      <c r="O34">
        <v>7.024</v>
      </c>
      <c r="P34">
        <v>46.11</v>
      </c>
      <c r="Q34">
        <v>-98.84</v>
      </c>
      <c r="R34">
        <v>166.16</v>
      </c>
      <c r="S34">
        <v>-62.83</v>
      </c>
      <c r="T34">
        <v>184</v>
      </c>
      <c r="U34">
        <v>177</v>
      </c>
      <c r="V34">
        <v>-0.64900000000000002</v>
      </c>
      <c r="W34">
        <v>144.41399999999999</v>
      </c>
    </row>
    <row r="35" spans="1:23" x14ac:dyDescent="0.35">
      <c r="A35">
        <v>988507800</v>
      </c>
      <c r="B35" t="s">
        <v>23</v>
      </c>
      <c r="C35">
        <v>2001</v>
      </c>
      <c r="D35">
        <v>4</v>
      </c>
      <c r="E35">
        <v>28</v>
      </c>
      <c r="F35">
        <v>15</v>
      </c>
      <c r="G35">
        <v>30</v>
      </c>
      <c r="H35" s="1">
        <f t="shared" si="0"/>
        <v>37009.645833333336</v>
      </c>
      <c r="I35">
        <v>110.44710499999999</v>
      </c>
      <c r="J35">
        <v>-7.5426849999999996</v>
      </c>
      <c r="K35">
        <v>2.1930000000000001</v>
      </c>
      <c r="L35">
        <v>-10</v>
      </c>
      <c r="M35">
        <v>156.74199999999999</v>
      </c>
      <c r="N35">
        <v>7.5679999999999996</v>
      </c>
      <c r="O35">
        <v>7.2480000000000002</v>
      </c>
      <c r="P35">
        <v>25.4</v>
      </c>
      <c r="Q35">
        <v>-99.35</v>
      </c>
      <c r="R35">
        <v>163.24</v>
      </c>
      <c r="S35">
        <v>-65.81</v>
      </c>
      <c r="T35">
        <v>1289</v>
      </c>
      <c r="U35">
        <v>397</v>
      </c>
      <c r="V35">
        <v>-0.53500000000000003</v>
      </c>
      <c r="W35">
        <v>165.691</v>
      </c>
    </row>
    <row r="36" spans="1:23" x14ac:dyDescent="0.35">
      <c r="A36">
        <v>988507800</v>
      </c>
      <c r="B36" t="s">
        <v>23</v>
      </c>
      <c r="C36">
        <v>2001</v>
      </c>
      <c r="D36">
        <v>4</v>
      </c>
      <c r="E36">
        <v>28</v>
      </c>
      <c r="F36">
        <v>15</v>
      </c>
      <c r="G36">
        <v>30</v>
      </c>
      <c r="H36" s="1">
        <f t="shared" si="0"/>
        <v>37009.645833333336</v>
      </c>
      <c r="I36">
        <v>110.44012499999999</v>
      </c>
      <c r="J36">
        <v>-7.5418180000000001</v>
      </c>
      <c r="K36">
        <v>1.2829999999999999</v>
      </c>
      <c r="L36">
        <v>1.6930000000000001</v>
      </c>
      <c r="M36">
        <v>156.74199999999999</v>
      </c>
      <c r="N36">
        <v>7.5270000000000001</v>
      </c>
      <c r="O36">
        <v>7.12</v>
      </c>
      <c r="P36">
        <v>25.4</v>
      </c>
      <c r="Q36">
        <v>-97.4</v>
      </c>
      <c r="R36">
        <v>163.24</v>
      </c>
      <c r="S36">
        <v>-65.819999999999993</v>
      </c>
      <c r="T36">
        <v>1290</v>
      </c>
      <c r="U36">
        <v>397</v>
      </c>
      <c r="V36">
        <v>-0.61599999999999999</v>
      </c>
      <c r="W36">
        <v>166.251</v>
      </c>
    </row>
    <row r="37" spans="1:23" x14ac:dyDescent="0.35">
      <c r="A37">
        <v>988507800</v>
      </c>
      <c r="B37" t="s">
        <v>23</v>
      </c>
      <c r="C37">
        <v>2001</v>
      </c>
      <c r="D37">
        <v>4</v>
      </c>
      <c r="E37">
        <v>28</v>
      </c>
      <c r="F37">
        <v>15</v>
      </c>
      <c r="G37">
        <v>30</v>
      </c>
      <c r="H37" s="1">
        <f t="shared" si="0"/>
        <v>37009.645833333336</v>
      </c>
      <c r="I37">
        <v>110.452431</v>
      </c>
      <c r="J37">
        <v>-7.5400489999999998</v>
      </c>
      <c r="K37">
        <v>1.1539999999999999</v>
      </c>
      <c r="L37">
        <v>1.0740000000000001</v>
      </c>
      <c r="M37">
        <v>156.74199999999999</v>
      </c>
      <c r="N37">
        <v>7.2149999999999999</v>
      </c>
      <c r="O37">
        <v>6.9539999999999997</v>
      </c>
      <c r="P37">
        <v>25.4</v>
      </c>
      <c r="Q37">
        <v>-97.46</v>
      </c>
      <c r="R37">
        <v>163.24</v>
      </c>
      <c r="S37">
        <v>-65.8</v>
      </c>
      <c r="T37">
        <v>1290</v>
      </c>
      <c r="U37">
        <v>396</v>
      </c>
      <c r="V37">
        <v>-0.73199999999999998</v>
      </c>
      <c r="W37">
        <v>166.226</v>
      </c>
    </row>
    <row r="38" spans="1:23" x14ac:dyDescent="0.35">
      <c r="A38">
        <v>988680000</v>
      </c>
      <c r="B38" t="s">
        <v>23</v>
      </c>
      <c r="C38">
        <v>2001</v>
      </c>
      <c r="D38">
        <v>4</v>
      </c>
      <c r="E38">
        <v>30</v>
      </c>
      <c r="F38">
        <v>15</v>
      </c>
      <c r="G38">
        <v>20</v>
      </c>
      <c r="H38" s="1">
        <f t="shared" si="0"/>
        <v>37011.638888888891</v>
      </c>
      <c r="I38">
        <v>110.435799</v>
      </c>
      <c r="J38">
        <v>-7.5418440000000002</v>
      </c>
      <c r="K38">
        <v>0.76700000000000002</v>
      </c>
      <c r="L38">
        <v>0.83599999999999997</v>
      </c>
      <c r="M38">
        <v>156.74199999999999</v>
      </c>
      <c r="N38">
        <v>5.5289999999999999</v>
      </c>
      <c r="O38">
        <v>5.17</v>
      </c>
      <c r="P38">
        <v>3.32</v>
      </c>
      <c r="Q38">
        <v>85.71</v>
      </c>
      <c r="R38">
        <v>160.31</v>
      </c>
      <c r="S38">
        <v>-66.58</v>
      </c>
      <c r="T38">
        <v>348</v>
      </c>
      <c r="U38">
        <v>714</v>
      </c>
      <c r="V38">
        <v>-0.72199999999999998</v>
      </c>
      <c r="W38">
        <v>157.125</v>
      </c>
    </row>
    <row r="39" spans="1:23" x14ac:dyDescent="0.35">
      <c r="A39">
        <v>988680000</v>
      </c>
      <c r="B39" t="s">
        <v>23</v>
      </c>
      <c r="C39">
        <v>2001</v>
      </c>
      <c r="D39">
        <v>4</v>
      </c>
      <c r="E39">
        <v>30</v>
      </c>
      <c r="F39">
        <v>15</v>
      </c>
      <c r="G39">
        <v>20</v>
      </c>
      <c r="H39" s="1">
        <f t="shared" si="0"/>
        <v>37011.638888888891</v>
      </c>
      <c r="I39">
        <v>110.44470200000001</v>
      </c>
      <c r="J39">
        <v>-7.5405870000000004</v>
      </c>
      <c r="K39">
        <v>1.097</v>
      </c>
      <c r="L39">
        <v>1.0129999999999999</v>
      </c>
      <c r="M39">
        <v>156.74199999999999</v>
      </c>
      <c r="N39">
        <v>5.3890000000000002</v>
      </c>
      <c r="O39">
        <v>5.0999999999999996</v>
      </c>
      <c r="P39">
        <v>3.26</v>
      </c>
      <c r="Q39">
        <v>85.83</v>
      </c>
      <c r="R39">
        <v>160.31</v>
      </c>
      <c r="S39">
        <v>-66.569999999999993</v>
      </c>
      <c r="T39">
        <v>348</v>
      </c>
      <c r="U39">
        <v>713</v>
      </c>
      <c r="V39">
        <v>-0.66900000000000004</v>
      </c>
      <c r="W39">
        <v>157.18100000000001</v>
      </c>
    </row>
    <row r="40" spans="1:23" x14ac:dyDescent="0.35">
      <c r="A40">
        <v>989112900</v>
      </c>
      <c r="B40" t="s">
        <v>23</v>
      </c>
      <c r="C40">
        <v>2001</v>
      </c>
      <c r="D40">
        <v>5</v>
      </c>
      <c r="E40">
        <v>5</v>
      </c>
      <c r="F40">
        <v>15</v>
      </c>
      <c r="G40">
        <v>35</v>
      </c>
      <c r="H40" s="1">
        <f t="shared" si="0"/>
        <v>37016.649305555555</v>
      </c>
      <c r="I40">
        <v>110.444778</v>
      </c>
      <c r="J40">
        <v>-7.5460849999999997</v>
      </c>
      <c r="K40">
        <v>0.71299999999999997</v>
      </c>
      <c r="L40">
        <v>0.78100000000000003</v>
      </c>
      <c r="M40">
        <v>156.74199999999999</v>
      </c>
      <c r="N40">
        <v>4.6859999999999999</v>
      </c>
      <c r="O40">
        <v>4.4560000000000004</v>
      </c>
      <c r="P40">
        <v>36.71</v>
      </c>
      <c r="Q40">
        <v>-98.72</v>
      </c>
      <c r="R40">
        <v>163.75</v>
      </c>
      <c r="S40">
        <v>-57.45</v>
      </c>
      <c r="T40">
        <v>1635</v>
      </c>
      <c r="U40">
        <v>275</v>
      </c>
      <c r="V40">
        <v>-0.70199999999999996</v>
      </c>
      <c r="W40">
        <v>153.93899999999999</v>
      </c>
    </row>
    <row r="41" spans="1:23" x14ac:dyDescent="0.35">
      <c r="A41">
        <v>989112900</v>
      </c>
      <c r="B41" t="s">
        <v>23</v>
      </c>
      <c r="C41">
        <v>2001</v>
      </c>
      <c r="D41">
        <v>5</v>
      </c>
      <c r="E41">
        <v>5</v>
      </c>
      <c r="F41">
        <v>15</v>
      </c>
      <c r="G41">
        <v>35</v>
      </c>
      <c r="H41" s="1">
        <f t="shared" si="0"/>
        <v>37016.649305555555</v>
      </c>
      <c r="I41">
        <v>110.440842</v>
      </c>
      <c r="J41">
        <v>-7.5355749999999997</v>
      </c>
      <c r="K41">
        <v>0.70399999999999996</v>
      </c>
      <c r="L41">
        <v>0.70299999999999996</v>
      </c>
      <c r="M41">
        <v>156.74199999999999</v>
      </c>
      <c r="N41">
        <v>4.5670000000000002</v>
      </c>
      <c r="O41">
        <v>4.3330000000000002</v>
      </c>
      <c r="P41">
        <v>36.71</v>
      </c>
      <c r="Q41">
        <v>-98.89</v>
      </c>
      <c r="R41">
        <v>163.75</v>
      </c>
      <c r="S41">
        <v>-57.43</v>
      </c>
      <c r="T41">
        <v>1636</v>
      </c>
      <c r="U41">
        <v>275</v>
      </c>
      <c r="V41">
        <v>-0.72099999999999997</v>
      </c>
      <c r="W41">
        <v>153.892</v>
      </c>
    </row>
    <row r="42" spans="1:23" x14ac:dyDescent="0.35">
      <c r="A42">
        <v>989285100</v>
      </c>
      <c r="B42" t="s">
        <v>23</v>
      </c>
      <c r="C42">
        <v>2001</v>
      </c>
      <c r="D42">
        <v>5</v>
      </c>
      <c r="E42">
        <v>7</v>
      </c>
      <c r="F42">
        <v>15</v>
      </c>
      <c r="G42">
        <v>25</v>
      </c>
      <c r="H42" s="1">
        <f t="shared" si="0"/>
        <v>37018.642361111109</v>
      </c>
      <c r="I42">
        <v>110.43798099999999</v>
      </c>
      <c r="J42">
        <v>-7.542764</v>
      </c>
      <c r="K42">
        <v>1.425</v>
      </c>
      <c r="L42">
        <v>1.5609999999999999</v>
      </c>
      <c r="M42">
        <v>156.74199999999999</v>
      </c>
      <c r="N42">
        <v>7.8029999999999999</v>
      </c>
      <c r="O42">
        <v>7.4420000000000002</v>
      </c>
      <c r="P42">
        <v>11.36</v>
      </c>
      <c r="Q42">
        <v>-97.23</v>
      </c>
      <c r="R42">
        <v>160.94</v>
      </c>
      <c r="S42">
        <v>-59.44</v>
      </c>
      <c r="T42">
        <v>683</v>
      </c>
      <c r="U42">
        <v>551</v>
      </c>
      <c r="V42">
        <v>-0.65300000000000002</v>
      </c>
      <c r="W42">
        <v>167.51</v>
      </c>
    </row>
    <row r="43" spans="1:23" x14ac:dyDescent="0.35">
      <c r="A43">
        <v>989285100</v>
      </c>
      <c r="B43" t="s">
        <v>23</v>
      </c>
      <c r="C43">
        <v>2001</v>
      </c>
      <c r="D43">
        <v>5</v>
      </c>
      <c r="E43">
        <v>7</v>
      </c>
      <c r="F43">
        <v>15</v>
      </c>
      <c r="G43">
        <v>25</v>
      </c>
      <c r="H43" s="1">
        <f t="shared" si="0"/>
        <v>37018.642361111109</v>
      </c>
      <c r="I43">
        <v>110.447731</v>
      </c>
      <c r="J43">
        <v>-7.5413680000000003</v>
      </c>
      <c r="K43">
        <v>1.837</v>
      </c>
      <c r="L43">
        <v>1.6870000000000001</v>
      </c>
      <c r="M43">
        <v>156.74199999999999</v>
      </c>
      <c r="N43">
        <v>7.6769999999999996</v>
      </c>
      <c r="O43">
        <v>7.4089999999999998</v>
      </c>
      <c r="P43">
        <v>11.41</v>
      </c>
      <c r="Q43">
        <v>-97.23</v>
      </c>
      <c r="R43">
        <v>160.94</v>
      </c>
      <c r="S43">
        <v>-59.43</v>
      </c>
      <c r="T43">
        <v>683</v>
      </c>
      <c r="U43">
        <v>550</v>
      </c>
      <c r="V43">
        <v>-0.629</v>
      </c>
      <c r="W43">
        <v>167.53200000000001</v>
      </c>
    </row>
    <row r="44" spans="1:23" x14ac:dyDescent="0.35">
      <c r="A44">
        <v>989457000</v>
      </c>
      <c r="B44" t="s">
        <v>23</v>
      </c>
      <c r="C44">
        <v>2001</v>
      </c>
      <c r="D44">
        <v>5</v>
      </c>
      <c r="E44">
        <v>9</v>
      </c>
      <c r="F44">
        <v>15</v>
      </c>
      <c r="G44">
        <v>10</v>
      </c>
      <c r="H44" s="1">
        <f t="shared" si="0"/>
        <v>37020.631944444445</v>
      </c>
      <c r="I44">
        <v>110.433136</v>
      </c>
      <c r="J44">
        <v>-7.5387779999999998</v>
      </c>
      <c r="K44">
        <v>0.748</v>
      </c>
      <c r="L44">
        <v>0.81899999999999995</v>
      </c>
      <c r="M44">
        <v>156.74199999999999</v>
      </c>
      <c r="N44">
        <v>7.0789999999999997</v>
      </c>
      <c r="O44">
        <v>6.7329999999999997</v>
      </c>
      <c r="P44">
        <v>18.13</v>
      </c>
      <c r="Q44">
        <v>81.02</v>
      </c>
      <c r="R44">
        <v>158.08000000000001</v>
      </c>
      <c r="S44">
        <v>-62.25</v>
      </c>
      <c r="T44">
        <v>1782</v>
      </c>
      <c r="U44">
        <v>878</v>
      </c>
      <c r="V44">
        <v>-0.78300000000000003</v>
      </c>
      <c r="W44">
        <v>141.12299999999999</v>
      </c>
    </row>
    <row r="45" spans="1:23" x14ac:dyDescent="0.35">
      <c r="A45">
        <v>989457000</v>
      </c>
      <c r="B45" t="s">
        <v>23</v>
      </c>
      <c r="C45">
        <v>2001</v>
      </c>
      <c r="D45">
        <v>5</v>
      </c>
      <c r="E45">
        <v>9</v>
      </c>
      <c r="F45">
        <v>15</v>
      </c>
      <c r="G45">
        <v>10</v>
      </c>
      <c r="H45" s="1">
        <f t="shared" si="0"/>
        <v>37020.631944444445</v>
      </c>
      <c r="I45">
        <v>110.442924</v>
      </c>
      <c r="J45">
        <v>-7.5374230000000004</v>
      </c>
      <c r="K45">
        <v>1.0189999999999999</v>
      </c>
      <c r="L45">
        <v>0.94199999999999995</v>
      </c>
      <c r="M45">
        <v>156.74199999999999</v>
      </c>
      <c r="N45">
        <v>7.032</v>
      </c>
      <c r="O45">
        <v>6.7270000000000003</v>
      </c>
      <c r="P45">
        <v>18.02</v>
      </c>
      <c r="Q45">
        <v>81.02</v>
      </c>
      <c r="R45">
        <v>158.08000000000001</v>
      </c>
      <c r="S45">
        <v>-62.24</v>
      </c>
      <c r="T45">
        <v>1782</v>
      </c>
      <c r="U45">
        <v>877</v>
      </c>
      <c r="V45">
        <v>-0.754</v>
      </c>
      <c r="W45">
        <v>141.23599999999999</v>
      </c>
    </row>
    <row r="46" spans="1:23" x14ac:dyDescent="0.35">
      <c r="A46">
        <v>989546100</v>
      </c>
      <c r="B46" t="s">
        <v>23</v>
      </c>
      <c r="C46">
        <v>2001</v>
      </c>
      <c r="D46">
        <v>5</v>
      </c>
      <c r="E46">
        <v>10</v>
      </c>
      <c r="F46">
        <v>15</v>
      </c>
      <c r="G46">
        <v>55</v>
      </c>
      <c r="H46" s="1">
        <f t="shared" si="0"/>
        <v>37021.663194444445</v>
      </c>
      <c r="I46">
        <v>110.445915</v>
      </c>
      <c r="J46">
        <v>-7.5476609999999997</v>
      </c>
      <c r="K46">
        <v>0.97099999999999997</v>
      </c>
      <c r="L46">
        <v>1.0609999999999999</v>
      </c>
      <c r="M46">
        <v>156.74199999999999</v>
      </c>
      <c r="N46">
        <v>7.63</v>
      </c>
      <c r="O46">
        <v>7.2329999999999997</v>
      </c>
      <c r="P46">
        <v>59.53</v>
      </c>
      <c r="Q46">
        <v>-99.35</v>
      </c>
      <c r="R46">
        <v>166.33</v>
      </c>
      <c r="S46">
        <v>-42.41</v>
      </c>
      <c r="T46">
        <v>894</v>
      </c>
      <c r="U46">
        <v>50</v>
      </c>
      <c r="V46">
        <v>-0.74399999999999999</v>
      </c>
      <c r="W46">
        <v>127.29300000000001</v>
      </c>
    </row>
    <row r="47" spans="1:23" x14ac:dyDescent="0.35">
      <c r="A47">
        <v>989673900</v>
      </c>
      <c r="B47" t="s">
        <v>23</v>
      </c>
      <c r="C47">
        <v>2001</v>
      </c>
      <c r="D47">
        <v>5</v>
      </c>
      <c r="E47">
        <v>12</v>
      </c>
      <c r="F47">
        <v>3</v>
      </c>
      <c r="G47">
        <v>25</v>
      </c>
      <c r="H47" s="1">
        <f t="shared" si="0"/>
        <v>37023.142361111109</v>
      </c>
      <c r="I47">
        <v>110.452499</v>
      </c>
      <c r="J47">
        <v>-7.5407999999999999</v>
      </c>
      <c r="K47">
        <v>3.63</v>
      </c>
      <c r="L47">
        <v>-10</v>
      </c>
      <c r="M47">
        <v>10.167</v>
      </c>
      <c r="N47">
        <v>9.9039999999999999</v>
      </c>
      <c r="O47">
        <v>9.1530000000000005</v>
      </c>
      <c r="P47">
        <v>32.01</v>
      </c>
      <c r="Q47">
        <v>-81.59</v>
      </c>
      <c r="R47">
        <v>30.54</v>
      </c>
      <c r="S47">
        <v>33.57</v>
      </c>
      <c r="T47">
        <v>1028</v>
      </c>
      <c r="U47">
        <v>1029</v>
      </c>
      <c r="V47">
        <v>-0.48199999999999998</v>
      </c>
      <c r="W47">
        <v>32.491</v>
      </c>
    </row>
    <row r="48" spans="1:23" x14ac:dyDescent="0.35">
      <c r="A48">
        <v>989718000</v>
      </c>
      <c r="B48" t="s">
        <v>23</v>
      </c>
      <c r="C48">
        <v>2001</v>
      </c>
      <c r="D48">
        <v>5</v>
      </c>
      <c r="E48">
        <v>12</v>
      </c>
      <c r="F48">
        <v>15</v>
      </c>
      <c r="G48">
        <v>40</v>
      </c>
      <c r="H48" s="1">
        <f t="shared" si="0"/>
        <v>37023.652777777781</v>
      </c>
      <c r="I48">
        <v>110.434189</v>
      </c>
      <c r="J48">
        <v>-7.5426140000000004</v>
      </c>
      <c r="K48">
        <v>0.77</v>
      </c>
      <c r="L48">
        <v>0.83</v>
      </c>
      <c r="M48">
        <v>156.74199999999999</v>
      </c>
      <c r="N48">
        <v>7.4219999999999997</v>
      </c>
      <c r="O48">
        <v>7.0060000000000002</v>
      </c>
      <c r="P48">
        <v>46.11</v>
      </c>
      <c r="Q48">
        <v>-99.47</v>
      </c>
      <c r="R48">
        <v>163.87</v>
      </c>
      <c r="S48">
        <v>-49.76</v>
      </c>
      <c r="T48">
        <v>2019</v>
      </c>
      <c r="U48">
        <v>179</v>
      </c>
      <c r="V48">
        <v>-0.78800000000000003</v>
      </c>
      <c r="W48">
        <v>143.08600000000001</v>
      </c>
    </row>
    <row r="49" spans="1:23" x14ac:dyDescent="0.35">
      <c r="A49">
        <v>989718000</v>
      </c>
      <c r="B49" t="s">
        <v>23</v>
      </c>
      <c r="C49">
        <v>2001</v>
      </c>
      <c r="D49">
        <v>5</v>
      </c>
      <c r="E49">
        <v>12</v>
      </c>
      <c r="F49">
        <v>15</v>
      </c>
      <c r="G49">
        <v>40</v>
      </c>
      <c r="H49" s="1">
        <f t="shared" si="0"/>
        <v>37023.652777777781</v>
      </c>
      <c r="I49">
        <v>110.455269</v>
      </c>
      <c r="J49">
        <v>-7.5391950000000003</v>
      </c>
      <c r="K49">
        <v>1.63</v>
      </c>
      <c r="L49">
        <v>1.56</v>
      </c>
      <c r="M49">
        <v>156.74199999999999</v>
      </c>
      <c r="N49">
        <v>7.6779999999999999</v>
      </c>
      <c r="O49">
        <v>7.2750000000000004</v>
      </c>
      <c r="P49">
        <v>46.11</v>
      </c>
      <c r="Q49">
        <v>-99.47</v>
      </c>
      <c r="R49">
        <v>163.87</v>
      </c>
      <c r="S49">
        <v>-49.71</v>
      </c>
      <c r="T49">
        <v>2019</v>
      </c>
      <c r="U49">
        <v>178</v>
      </c>
      <c r="V49">
        <v>-0.64700000000000002</v>
      </c>
      <c r="W49">
        <v>143.06700000000001</v>
      </c>
    </row>
    <row r="50" spans="1:23" x14ac:dyDescent="0.35">
      <c r="A50">
        <v>989718000</v>
      </c>
      <c r="B50" t="s">
        <v>23</v>
      </c>
      <c r="C50">
        <v>2001</v>
      </c>
      <c r="D50">
        <v>5</v>
      </c>
      <c r="E50">
        <v>12</v>
      </c>
      <c r="F50">
        <v>15</v>
      </c>
      <c r="G50">
        <v>40</v>
      </c>
      <c r="H50" s="1">
        <f t="shared" si="0"/>
        <v>37023.652777777781</v>
      </c>
      <c r="I50">
        <v>110.44534299999999</v>
      </c>
      <c r="J50">
        <v>-7.5368930000000001</v>
      </c>
      <c r="K50">
        <v>1.63</v>
      </c>
      <c r="L50">
        <v>1.68</v>
      </c>
      <c r="M50">
        <v>156.74199999999999</v>
      </c>
      <c r="N50">
        <v>7.6260000000000003</v>
      </c>
      <c r="O50">
        <v>7.2110000000000003</v>
      </c>
      <c r="P50">
        <v>46.11</v>
      </c>
      <c r="Q50">
        <v>-98.61</v>
      </c>
      <c r="R50">
        <v>163.87</v>
      </c>
      <c r="S50">
        <v>-49.73</v>
      </c>
      <c r="T50">
        <v>2022</v>
      </c>
      <c r="U50">
        <v>178</v>
      </c>
      <c r="V50">
        <v>-0.622</v>
      </c>
      <c r="W50">
        <v>143.304</v>
      </c>
    </row>
    <row r="51" spans="1:23" x14ac:dyDescent="0.35">
      <c r="A51">
        <v>989846100</v>
      </c>
      <c r="B51" t="s">
        <v>23</v>
      </c>
      <c r="C51">
        <v>2001</v>
      </c>
      <c r="D51">
        <v>5</v>
      </c>
      <c r="E51">
        <v>14</v>
      </c>
      <c r="F51">
        <v>3</v>
      </c>
      <c r="G51">
        <v>15</v>
      </c>
      <c r="H51" s="1">
        <f t="shared" si="0"/>
        <v>37025.135416666664</v>
      </c>
      <c r="I51">
        <v>110.44776899999999</v>
      </c>
      <c r="J51">
        <v>-7.5438020000000003</v>
      </c>
      <c r="K51">
        <v>2.7450000000000001</v>
      </c>
      <c r="L51">
        <v>-10</v>
      </c>
      <c r="M51">
        <v>15.161</v>
      </c>
      <c r="N51">
        <v>7.3150000000000004</v>
      </c>
      <c r="O51">
        <v>6.76</v>
      </c>
      <c r="P51">
        <v>5.15</v>
      </c>
      <c r="Q51">
        <v>-79.180000000000007</v>
      </c>
      <c r="R51">
        <v>32.659999999999997</v>
      </c>
      <c r="S51">
        <v>36.61</v>
      </c>
      <c r="T51">
        <v>107</v>
      </c>
      <c r="U51">
        <v>734</v>
      </c>
      <c r="V51">
        <v>-0.52600000000000002</v>
      </c>
      <c r="W51">
        <v>30.765000000000001</v>
      </c>
    </row>
    <row r="52" spans="1:23" x14ac:dyDescent="0.35">
      <c r="A52">
        <v>989846100</v>
      </c>
      <c r="B52" t="s">
        <v>23</v>
      </c>
      <c r="C52">
        <v>2001</v>
      </c>
      <c r="D52">
        <v>5</v>
      </c>
      <c r="E52">
        <v>14</v>
      </c>
      <c r="F52">
        <v>3</v>
      </c>
      <c r="G52">
        <v>15</v>
      </c>
      <c r="H52" s="1">
        <f t="shared" si="0"/>
        <v>37025.135416666664</v>
      </c>
      <c r="I52">
        <v>110.43853</v>
      </c>
      <c r="J52">
        <v>-7.5424439999999997</v>
      </c>
      <c r="K52">
        <v>2.8889999999999998</v>
      </c>
      <c r="L52">
        <v>-10</v>
      </c>
      <c r="M52">
        <v>14.444000000000001</v>
      </c>
      <c r="N52">
        <v>7.4569999999999999</v>
      </c>
      <c r="O52">
        <v>6.96</v>
      </c>
      <c r="P52">
        <v>5.04</v>
      </c>
      <c r="Q52">
        <v>-79.180000000000007</v>
      </c>
      <c r="R52">
        <v>32.659999999999997</v>
      </c>
      <c r="S52">
        <v>36.619999999999997</v>
      </c>
      <c r="T52">
        <v>107</v>
      </c>
      <c r="U52">
        <v>733</v>
      </c>
      <c r="V52">
        <v>-0.50800000000000001</v>
      </c>
      <c r="W52">
        <v>30.803000000000001</v>
      </c>
    </row>
    <row r="53" spans="1:23" x14ac:dyDescent="0.35">
      <c r="A53">
        <v>989890200</v>
      </c>
      <c r="B53" t="s">
        <v>23</v>
      </c>
      <c r="C53">
        <v>2001</v>
      </c>
      <c r="D53">
        <v>5</v>
      </c>
      <c r="E53">
        <v>14</v>
      </c>
      <c r="F53">
        <v>15</v>
      </c>
      <c r="G53">
        <v>30</v>
      </c>
      <c r="H53" s="1">
        <f t="shared" si="0"/>
        <v>37025.645833333336</v>
      </c>
      <c r="I53">
        <v>110.439774</v>
      </c>
      <c r="J53">
        <v>-7.5400980000000004</v>
      </c>
      <c r="K53">
        <v>1.9950000000000001</v>
      </c>
      <c r="L53">
        <v>-10</v>
      </c>
      <c r="M53">
        <v>156.74199999999999</v>
      </c>
      <c r="N53">
        <v>7.1529999999999996</v>
      </c>
      <c r="O53">
        <v>6.67</v>
      </c>
      <c r="P53">
        <v>25.29</v>
      </c>
      <c r="Q53">
        <v>-97.86</v>
      </c>
      <c r="R53">
        <v>161.29</v>
      </c>
      <c r="S53">
        <v>-52.87</v>
      </c>
      <c r="T53">
        <v>1102</v>
      </c>
      <c r="U53">
        <v>398</v>
      </c>
      <c r="V53">
        <v>-0.54</v>
      </c>
      <c r="W53">
        <v>162.40199999999999</v>
      </c>
    </row>
    <row r="54" spans="1:23" x14ac:dyDescent="0.35">
      <c r="A54">
        <v>989890200</v>
      </c>
      <c r="B54" t="s">
        <v>23</v>
      </c>
      <c r="C54">
        <v>2001</v>
      </c>
      <c r="D54">
        <v>5</v>
      </c>
      <c r="E54">
        <v>14</v>
      </c>
      <c r="F54">
        <v>15</v>
      </c>
      <c r="G54">
        <v>30</v>
      </c>
      <c r="H54" s="1">
        <f t="shared" si="0"/>
        <v>37025.645833333336</v>
      </c>
      <c r="I54">
        <v>110.45237</v>
      </c>
      <c r="J54">
        <v>-7.5382660000000001</v>
      </c>
      <c r="K54">
        <v>1.595</v>
      </c>
      <c r="L54">
        <v>1.43</v>
      </c>
      <c r="M54">
        <v>156.74199999999999</v>
      </c>
      <c r="N54">
        <v>6.8109999999999999</v>
      </c>
      <c r="O54">
        <v>6.4729999999999999</v>
      </c>
      <c r="P54">
        <v>25.4</v>
      </c>
      <c r="Q54">
        <v>-97.86</v>
      </c>
      <c r="R54">
        <v>161.29</v>
      </c>
      <c r="S54">
        <v>-52.84</v>
      </c>
      <c r="T54">
        <v>1102</v>
      </c>
      <c r="U54">
        <v>397</v>
      </c>
      <c r="V54">
        <v>-0.63800000000000001</v>
      </c>
      <c r="W54">
        <v>162.32300000000001</v>
      </c>
    </row>
    <row r="55" spans="1:23" x14ac:dyDescent="0.35">
      <c r="A55">
        <v>990062400</v>
      </c>
      <c r="B55" t="s">
        <v>23</v>
      </c>
      <c r="C55">
        <v>2001</v>
      </c>
      <c r="D55">
        <v>5</v>
      </c>
      <c r="E55">
        <v>16</v>
      </c>
      <c r="F55">
        <v>15</v>
      </c>
      <c r="G55">
        <v>20</v>
      </c>
      <c r="H55" s="1">
        <f t="shared" si="0"/>
        <v>37027.638888888891</v>
      </c>
      <c r="I55">
        <v>110.44251300000001</v>
      </c>
      <c r="J55">
        <v>-7.5413180000000004</v>
      </c>
      <c r="K55">
        <v>1.869</v>
      </c>
      <c r="L55">
        <v>1.835</v>
      </c>
      <c r="M55">
        <v>156.74199999999999</v>
      </c>
      <c r="N55">
        <v>7.98</v>
      </c>
      <c r="O55">
        <v>7.6619999999999999</v>
      </c>
      <c r="P55">
        <v>3.26</v>
      </c>
      <c r="Q55">
        <v>85.83</v>
      </c>
      <c r="R55">
        <v>158.59</v>
      </c>
      <c r="S55">
        <v>-55.32</v>
      </c>
      <c r="T55">
        <v>188</v>
      </c>
      <c r="U55">
        <v>713</v>
      </c>
      <c r="V55">
        <v>-0.61399999999999999</v>
      </c>
      <c r="W55">
        <v>155.85599999999999</v>
      </c>
    </row>
    <row r="56" spans="1:23" x14ac:dyDescent="0.35">
      <c r="A56">
        <v>990495300</v>
      </c>
      <c r="B56" t="s">
        <v>23</v>
      </c>
      <c r="C56">
        <v>2001</v>
      </c>
      <c r="D56">
        <v>5</v>
      </c>
      <c r="E56">
        <v>21</v>
      </c>
      <c r="F56">
        <v>15</v>
      </c>
      <c r="G56">
        <v>35</v>
      </c>
      <c r="H56" s="1">
        <f t="shared" si="0"/>
        <v>37032.649305555555</v>
      </c>
      <c r="I56">
        <v>110.437027</v>
      </c>
      <c r="J56">
        <v>-7.5410139999999997</v>
      </c>
      <c r="K56">
        <v>1.145</v>
      </c>
      <c r="L56">
        <v>1.2689999999999999</v>
      </c>
      <c r="M56">
        <v>156.74199999999999</v>
      </c>
      <c r="N56">
        <v>7.5629999999999997</v>
      </c>
      <c r="O56">
        <v>7.0679999999999996</v>
      </c>
      <c r="P56">
        <v>36.93</v>
      </c>
      <c r="Q56">
        <v>-99.18</v>
      </c>
      <c r="R56">
        <v>161.4</v>
      </c>
      <c r="S56">
        <v>-47.11</v>
      </c>
      <c r="T56">
        <v>1528</v>
      </c>
      <c r="U56">
        <v>273</v>
      </c>
      <c r="V56">
        <v>-0.69599999999999995</v>
      </c>
      <c r="W56">
        <v>151.22399999999999</v>
      </c>
    </row>
    <row r="57" spans="1:23" x14ac:dyDescent="0.35">
      <c r="A57">
        <v>990495300</v>
      </c>
      <c r="B57" t="s">
        <v>23</v>
      </c>
      <c r="C57">
        <v>2001</v>
      </c>
      <c r="D57">
        <v>5</v>
      </c>
      <c r="E57">
        <v>21</v>
      </c>
      <c r="F57">
        <v>15</v>
      </c>
      <c r="G57">
        <v>35</v>
      </c>
      <c r="H57" s="1">
        <f t="shared" si="0"/>
        <v>37032.649305555555</v>
      </c>
      <c r="I57">
        <v>110.45352200000001</v>
      </c>
      <c r="J57">
        <v>-7.53843</v>
      </c>
      <c r="K57">
        <v>1.869</v>
      </c>
      <c r="L57">
        <v>1.7450000000000001</v>
      </c>
      <c r="M57">
        <v>156.74199999999999</v>
      </c>
      <c r="N57">
        <v>7.7450000000000001</v>
      </c>
      <c r="O57">
        <v>7.2960000000000003</v>
      </c>
      <c r="P57">
        <v>36.93</v>
      </c>
      <c r="Q57">
        <v>-99.18</v>
      </c>
      <c r="R57">
        <v>161.4</v>
      </c>
      <c r="S57">
        <v>-47.08</v>
      </c>
      <c r="T57">
        <v>1528</v>
      </c>
      <c r="U57">
        <v>272</v>
      </c>
      <c r="V57">
        <v>-0.61399999999999999</v>
      </c>
      <c r="W57">
        <v>151.21100000000001</v>
      </c>
    </row>
    <row r="58" spans="1:23" x14ac:dyDescent="0.35">
      <c r="A58">
        <v>990495300</v>
      </c>
      <c r="B58" t="s">
        <v>23</v>
      </c>
      <c r="C58">
        <v>2001</v>
      </c>
      <c r="D58">
        <v>5</v>
      </c>
      <c r="E58">
        <v>21</v>
      </c>
      <c r="F58">
        <v>15</v>
      </c>
      <c r="G58">
        <v>35</v>
      </c>
      <c r="H58" s="1">
        <f t="shared" si="0"/>
        <v>37032.649305555555</v>
      </c>
      <c r="I58">
        <v>110.44606</v>
      </c>
      <c r="J58">
        <v>-7.5370900000000001</v>
      </c>
      <c r="K58">
        <v>1.819</v>
      </c>
      <c r="L58">
        <v>-10</v>
      </c>
      <c r="M58">
        <v>156.74199999999999</v>
      </c>
      <c r="N58">
        <v>7.7089999999999996</v>
      </c>
      <c r="O58">
        <v>7.2169999999999996</v>
      </c>
      <c r="P58">
        <v>36.93</v>
      </c>
      <c r="Q58">
        <v>-97.98</v>
      </c>
      <c r="R58">
        <v>161.4</v>
      </c>
      <c r="S58">
        <v>-47.09</v>
      </c>
      <c r="T58">
        <v>1530</v>
      </c>
      <c r="U58">
        <v>272</v>
      </c>
      <c r="V58">
        <v>-0.59699999999999998</v>
      </c>
      <c r="W58">
        <v>151.60599999999999</v>
      </c>
    </row>
    <row r="59" spans="1:23" x14ac:dyDescent="0.35">
      <c r="A59">
        <v>990667500</v>
      </c>
      <c r="B59" t="s">
        <v>23</v>
      </c>
      <c r="C59">
        <v>2001</v>
      </c>
      <c r="D59">
        <v>5</v>
      </c>
      <c r="E59">
        <v>23</v>
      </c>
      <c r="F59">
        <v>15</v>
      </c>
      <c r="G59">
        <v>25</v>
      </c>
      <c r="H59" s="1">
        <f t="shared" si="0"/>
        <v>37034.642361111109</v>
      </c>
      <c r="I59">
        <v>110.439819</v>
      </c>
      <c r="J59">
        <v>-7.5454020000000002</v>
      </c>
      <c r="K59">
        <v>2.0609999999999999</v>
      </c>
      <c r="L59">
        <v>-10</v>
      </c>
      <c r="M59">
        <v>156.74199999999999</v>
      </c>
      <c r="N59">
        <v>7.5609999999999999</v>
      </c>
      <c r="O59">
        <v>7.1760000000000002</v>
      </c>
      <c r="P59">
        <v>11.75</v>
      </c>
      <c r="Q59">
        <v>-99.92</v>
      </c>
      <c r="R59">
        <v>158.88</v>
      </c>
      <c r="S59">
        <v>-50.38</v>
      </c>
      <c r="T59">
        <v>599</v>
      </c>
      <c r="U59">
        <v>546</v>
      </c>
      <c r="V59">
        <v>-0.55400000000000005</v>
      </c>
      <c r="W59">
        <v>163.68600000000001</v>
      </c>
    </row>
    <row r="60" spans="1:23" x14ac:dyDescent="0.35">
      <c r="A60">
        <v>990667500</v>
      </c>
      <c r="B60" t="s">
        <v>23</v>
      </c>
      <c r="C60">
        <v>2001</v>
      </c>
      <c r="D60">
        <v>5</v>
      </c>
      <c r="E60">
        <v>23</v>
      </c>
      <c r="F60">
        <v>15</v>
      </c>
      <c r="G60">
        <v>25</v>
      </c>
      <c r="H60" s="1">
        <f t="shared" si="0"/>
        <v>37034.642361111109</v>
      </c>
      <c r="I60">
        <v>110.449455</v>
      </c>
      <c r="J60">
        <v>-7.5439879999999997</v>
      </c>
      <c r="K60">
        <v>1.6080000000000001</v>
      </c>
      <c r="L60">
        <v>1.431</v>
      </c>
      <c r="M60">
        <v>156.74199999999999</v>
      </c>
      <c r="N60">
        <v>7.2290000000000001</v>
      </c>
      <c r="O60">
        <v>6.952</v>
      </c>
      <c r="P60">
        <v>11.86</v>
      </c>
      <c r="Q60">
        <v>-99.92</v>
      </c>
      <c r="R60">
        <v>158.88</v>
      </c>
      <c r="S60">
        <v>-50.36</v>
      </c>
      <c r="T60">
        <v>599</v>
      </c>
      <c r="U60">
        <v>545</v>
      </c>
      <c r="V60">
        <v>-0.65900000000000003</v>
      </c>
      <c r="W60">
        <v>163.70400000000001</v>
      </c>
    </row>
    <row r="61" spans="1:23" x14ac:dyDescent="0.35">
      <c r="A61">
        <v>990667500</v>
      </c>
      <c r="B61" t="s">
        <v>23</v>
      </c>
      <c r="C61">
        <v>2001</v>
      </c>
      <c r="D61">
        <v>5</v>
      </c>
      <c r="E61">
        <v>23</v>
      </c>
      <c r="F61">
        <v>15</v>
      </c>
      <c r="G61">
        <v>25</v>
      </c>
      <c r="H61" s="1">
        <f t="shared" si="0"/>
        <v>37034.642361111109</v>
      </c>
      <c r="I61">
        <v>110.441467</v>
      </c>
      <c r="J61">
        <v>-7.5368830000000004</v>
      </c>
      <c r="K61">
        <v>1.7270000000000001</v>
      </c>
      <c r="L61">
        <v>-10</v>
      </c>
      <c r="M61">
        <v>156.74199999999999</v>
      </c>
      <c r="N61">
        <v>7.4260000000000002</v>
      </c>
      <c r="O61">
        <v>7.0330000000000004</v>
      </c>
      <c r="P61">
        <v>11.86</v>
      </c>
      <c r="Q61">
        <v>-95.97</v>
      </c>
      <c r="R61">
        <v>158.88</v>
      </c>
      <c r="S61">
        <v>-50.36</v>
      </c>
      <c r="T61">
        <v>600</v>
      </c>
      <c r="U61">
        <v>545</v>
      </c>
      <c r="V61">
        <v>-0.60599999999999998</v>
      </c>
      <c r="W61">
        <v>164.494</v>
      </c>
    </row>
    <row r="62" spans="1:23" x14ac:dyDescent="0.35">
      <c r="A62">
        <v>990928500</v>
      </c>
      <c r="B62" t="s">
        <v>23</v>
      </c>
      <c r="C62">
        <v>2001</v>
      </c>
      <c r="D62">
        <v>5</v>
      </c>
      <c r="E62">
        <v>26</v>
      </c>
      <c r="F62">
        <v>15</v>
      </c>
      <c r="G62">
        <v>55</v>
      </c>
      <c r="H62" s="1">
        <f t="shared" si="0"/>
        <v>37037.663194444445</v>
      </c>
      <c r="I62">
        <v>110.458389</v>
      </c>
      <c r="J62">
        <v>-7.5467420000000001</v>
      </c>
      <c r="K62">
        <v>0.84499999999999997</v>
      </c>
      <c r="L62">
        <v>0.85499999999999998</v>
      </c>
      <c r="M62">
        <v>156.74199999999999</v>
      </c>
      <c r="N62">
        <v>7.3490000000000002</v>
      </c>
      <c r="O62">
        <v>6.9580000000000002</v>
      </c>
      <c r="P62">
        <v>59.53</v>
      </c>
      <c r="Q62">
        <v>-99.06</v>
      </c>
      <c r="R62">
        <v>163.52000000000001</v>
      </c>
      <c r="S62">
        <v>-34.32</v>
      </c>
      <c r="T62">
        <v>811</v>
      </c>
      <c r="U62">
        <v>48</v>
      </c>
      <c r="V62">
        <v>-0.78100000000000003</v>
      </c>
      <c r="W62">
        <v>126.26600000000001</v>
      </c>
    </row>
    <row r="63" spans="1:23" x14ac:dyDescent="0.35">
      <c r="A63">
        <v>990928500</v>
      </c>
      <c r="B63" t="s">
        <v>23</v>
      </c>
      <c r="C63">
        <v>2001</v>
      </c>
      <c r="D63">
        <v>5</v>
      </c>
      <c r="E63">
        <v>26</v>
      </c>
      <c r="F63">
        <v>15</v>
      </c>
      <c r="G63">
        <v>55</v>
      </c>
      <c r="H63" s="1">
        <f t="shared" si="0"/>
        <v>37037.663194444445</v>
      </c>
      <c r="I63">
        <v>110.42926799999999</v>
      </c>
      <c r="J63">
        <v>-7.5464279999999997</v>
      </c>
      <c r="K63">
        <v>0.69699999999999995</v>
      </c>
      <c r="L63">
        <v>0.81499999999999995</v>
      </c>
      <c r="M63">
        <v>156.74199999999999</v>
      </c>
      <c r="N63">
        <v>7.3550000000000004</v>
      </c>
      <c r="O63">
        <v>6.9489999999999998</v>
      </c>
      <c r="P63">
        <v>59.53</v>
      </c>
      <c r="Q63">
        <v>-99.64</v>
      </c>
      <c r="R63">
        <v>163.52000000000001</v>
      </c>
      <c r="S63">
        <v>-34.4</v>
      </c>
      <c r="T63">
        <v>807</v>
      </c>
      <c r="U63">
        <v>49</v>
      </c>
      <c r="V63">
        <v>-0.79</v>
      </c>
      <c r="W63">
        <v>126.131</v>
      </c>
    </row>
    <row r="64" spans="1:23" x14ac:dyDescent="0.35">
      <c r="A64">
        <v>990928500</v>
      </c>
      <c r="B64" t="s">
        <v>23</v>
      </c>
      <c r="C64">
        <v>2001</v>
      </c>
      <c r="D64">
        <v>5</v>
      </c>
      <c r="E64">
        <v>26</v>
      </c>
      <c r="F64">
        <v>15</v>
      </c>
      <c r="G64">
        <v>55</v>
      </c>
      <c r="H64" s="1">
        <f t="shared" si="0"/>
        <v>37037.663194444445</v>
      </c>
      <c r="I64">
        <v>110.465065</v>
      </c>
      <c r="J64">
        <v>-7.5403830000000003</v>
      </c>
      <c r="K64">
        <v>1.4970000000000001</v>
      </c>
      <c r="L64">
        <v>1.4370000000000001</v>
      </c>
      <c r="M64">
        <v>156.74199999999999</v>
      </c>
      <c r="N64">
        <v>7.3719999999999999</v>
      </c>
      <c r="O64">
        <v>6.9820000000000002</v>
      </c>
      <c r="P64">
        <v>59.53</v>
      </c>
      <c r="Q64">
        <v>-99.69</v>
      </c>
      <c r="R64">
        <v>163.52000000000001</v>
      </c>
      <c r="S64">
        <v>-34.29</v>
      </c>
      <c r="T64">
        <v>807</v>
      </c>
      <c r="U64">
        <v>48</v>
      </c>
      <c r="V64">
        <v>-0.65900000000000003</v>
      </c>
      <c r="W64">
        <v>126.083</v>
      </c>
    </row>
    <row r="65" spans="1:23" x14ac:dyDescent="0.35">
      <c r="A65">
        <v>990928500</v>
      </c>
      <c r="B65" t="s">
        <v>23</v>
      </c>
      <c r="C65">
        <v>2001</v>
      </c>
      <c r="D65">
        <v>5</v>
      </c>
      <c r="E65">
        <v>26</v>
      </c>
      <c r="F65">
        <v>15</v>
      </c>
      <c r="G65">
        <v>55</v>
      </c>
      <c r="H65" s="1">
        <f t="shared" si="0"/>
        <v>37037.663194444445</v>
      </c>
      <c r="I65">
        <v>110.455147</v>
      </c>
      <c r="J65">
        <v>-7.5311519999999996</v>
      </c>
      <c r="K65">
        <v>1.1539999999999999</v>
      </c>
      <c r="L65">
        <v>1.1919999999999999</v>
      </c>
      <c r="M65">
        <v>156.74199999999999</v>
      </c>
      <c r="N65">
        <v>7.3029999999999999</v>
      </c>
      <c r="O65">
        <v>6.9059999999999997</v>
      </c>
      <c r="P65">
        <v>59.53</v>
      </c>
      <c r="Q65">
        <v>-99.12</v>
      </c>
      <c r="R65">
        <v>163.52000000000001</v>
      </c>
      <c r="S65">
        <v>-34.299999999999997</v>
      </c>
      <c r="T65">
        <v>812</v>
      </c>
      <c r="U65">
        <v>48</v>
      </c>
      <c r="V65">
        <v>-0.70599999999999996</v>
      </c>
      <c r="W65">
        <v>126.248</v>
      </c>
    </row>
    <row r="66" spans="1:23" x14ac:dyDescent="0.35">
      <c r="A66">
        <v>991100400</v>
      </c>
      <c r="B66" t="s">
        <v>23</v>
      </c>
      <c r="C66">
        <v>2001</v>
      </c>
      <c r="D66">
        <v>5</v>
      </c>
      <c r="E66">
        <v>28</v>
      </c>
      <c r="F66">
        <v>15</v>
      </c>
      <c r="G66">
        <v>40</v>
      </c>
      <c r="H66" s="1">
        <f t="shared" ref="H66:H129" si="1">(A66+2209125600)/86400</f>
        <v>37039.652777777781</v>
      </c>
      <c r="I66">
        <v>110.451195</v>
      </c>
      <c r="J66">
        <v>-7.5455079999999999</v>
      </c>
      <c r="K66">
        <v>1.8819999999999999</v>
      </c>
      <c r="L66">
        <v>1.9019999999999999</v>
      </c>
      <c r="M66">
        <v>156.74199999999999</v>
      </c>
      <c r="N66">
        <v>7.5890000000000004</v>
      </c>
      <c r="O66">
        <v>7.1669999999999998</v>
      </c>
      <c r="P66">
        <v>46.33</v>
      </c>
      <c r="Q66">
        <v>-99.24</v>
      </c>
      <c r="R66">
        <v>161.4</v>
      </c>
      <c r="S66">
        <v>-42.24</v>
      </c>
      <c r="T66">
        <v>1917</v>
      </c>
      <c r="U66">
        <v>176</v>
      </c>
      <c r="V66">
        <v>-0.58099999999999996</v>
      </c>
      <c r="W66">
        <v>141.452</v>
      </c>
    </row>
    <row r="67" spans="1:23" x14ac:dyDescent="0.35">
      <c r="A67">
        <v>991100400</v>
      </c>
      <c r="B67" t="s">
        <v>23</v>
      </c>
      <c r="C67">
        <v>2001</v>
      </c>
      <c r="D67">
        <v>5</v>
      </c>
      <c r="E67">
        <v>28</v>
      </c>
      <c r="F67">
        <v>15</v>
      </c>
      <c r="G67">
        <v>40</v>
      </c>
      <c r="H67" s="1">
        <f t="shared" si="1"/>
        <v>37039.652777777781</v>
      </c>
      <c r="I67">
        <v>110.443291</v>
      </c>
      <c r="J67">
        <v>-7.5431949999999999</v>
      </c>
      <c r="K67">
        <v>1.6259999999999999</v>
      </c>
      <c r="L67">
        <v>-10</v>
      </c>
      <c r="M67">
        <v>156.74199999999999</v>
      </c>
      <c r="N67">
        <v>7.6970000000000001</v>
      </c>
      <c r="O67">
        <v>7.2519999999999998</v>
      </c>
      <c r="P67">
        <v>46.33</v>
      </c>
      <c r="Q67">
        <v>-98.38</v>
      </c>
      <c r="R67">
        <v>161.4</v>
      </c>
      <c r="S67">
        <v>-42.26</v>
      </c>
      <c r="T67">
        <v>1920</v>
      </c>
      <c r="U67">
        <v>176</v>
      </c>
      <c r="V67">
        <v>-0.63400000000000001</v>
      </c>
      <c r="W67">
        <v>141.73400000000001</v>
      </c>
    </row>
    <row r="68" spans="1:23" x14ac:dyDescent="0.35">
      <c r="A68">
        <v>991100400</v>
      </c>
      <c r="B68" t="s">
        <v>23</v>
      </c>
      <c r="C68">
        <v>2001</v>
      </c>
      <c r="D68">
        <v>5</v>
      </c>
      <c r="E68">
        <v>28</v>
      </c>
      <c r="F68">
        <v>15</v>
      </c>
      <c r="G68">
        <v>40</v>
      </c>
      <c r="H68" s="1">
        <f t="shared" si="1"/>
        <v>37039.652777777781</v>
      </c>
      <c r="I68">
        <v>110.465096</v>
      </c>
      <c r="J68">
        <v>-7.5399010000000004</v>
      </c>
      <c r="K68">
        <v>1.1160000000000001</v>
      </c>
      <c r="L68">
        <v>0.92200000000000004</v>
      </c>
      <c r="M68">
        <v>156.74199999999999</v>
      </c>
      <c r="N68">
        <v>7.3520000000000003</v>
      </c>
      <c r="O68">
        <v>6.9790000000000001</v>
      </c>
      <c r="P68">
        <v>46.33</v>
      </c>
      <c r="Q68">
        <v>-98.38</v>
      </c>
      <c r="R68">
        <v>161.4</v>
      </c>
      <c r="S68">
        <v>-42.21</v>
      </c>
      <c r="T68">
        <v>1920</v>
      </c>
      <c r="U68">
        <v>175</v>
      </c>
      <c r="V68">
        <v>-0.76700000000000002</v>
      </c>
      <c r="W68">
        <v>141.715</v>
      </c>
    </row>
    <row r="69" spans="1:23" x14ac:dyDescent="0.35">
      <c r="A69">
        <v>991100400</v>
      </c>
      <c r="B69" t="s">
        <v>23</v>
      </c>
      <c r="C69">
        <v>2001</v>
      </c>
      <c r="D69">
        <v>5</v>
      </c>
      <c r="E69">
        <v>28</v>
      </c>
      <c r="F69">
        <v>15</v>
      </c>
      <c r="G69">
        <v>40</v>
      </c>
      <c r="H69" s="1">
        <f t="shared" si="1"/>
        <v>37039.652777777781</v>
      </c>
      <c r="I69">
        <v>110.448425</v>
      </c>
      <c r="J69">
        <v>-7.5333319999999997</v>
      </c>
      <c r="K69">
        <v>0.95899999999999996</v>
      </c>
      <c r="L69">
        <v>0.875</v>
      </c>
      <c r="M69">
        <v>156.74199999999999</v>
      </c>
      <c r="N69">
        <v>7.3460000000000001</v>
      </c>
      <c r="O69">
        <v>6.9459999999999997</v>
      </c>
      <c r="P69">
        <v>46.33</v>
      </c>
      <c r="Q69">
        <v>-99.35</v>
      </c>
      <c r="R69">
        <v>161.4</v>
      </c>
      <c r="S69">
        <v>-42.23</v>
      </c>
      <c r="T69">
        <v>1918</v>
      </c>
      <c r="U69">
        <v>176</v>
      </c>
      <c r="V69">
        <v>-0.77600000000000002</v>
      </c>
      <c r="W69">
        <v>141.41200000000001</v>
      </c>
    </row>
    <row r="70" spans="1:23" x14ac:dyDescent="0.35">
      <c r="A70">
        <v>991272600</v>
      </c>
      <c r="B70" t="s">
        <v>23</v>
      </c>
      <c r="C70">
        <v>2001</v>
      </c>
      <c r="D70">
        <v>5</v>
      </c>
      <c r="E70">
        <v>30</v>
      </c>
      <c r="F70">
        <v>15</v>
      </c>
      <c r="G70">
        <v>30</v>
      </c>
      <c r="H70" s="1">
        <f t="shared" si="1"/>
        <v>37041.645833333336</v>
      </c>
      <c r="I70">
        <v>110.447098</v>
      </c>
      <c r="J70">
        <v>-7.545852</v>
      </c>
      <c r="K70">
        <v>1.9350000000000001</v>
      </c>
      <c r="L70">
        <v>1.857</v>
      </c>
      <c r="M70">
        <v>156.74199999999999</v>
      </c>
      <c r="N70">
        <v>7.9459999999999997</v>
      </c>
      <c r="O70">
        <v>7.5579999999999998</v>
      </c>
      <c r="P70">
        <v>25.51</v>
      </c>
      <c r="Q70">
        <v>-97.86</v>
      </c>
      <c r="R70">
        <v>159.11000000000001</v>
      </c>
      <c r="S70">
        <v>-46.19</v>
      </c>
      <c r="T70">
        <v>982</v>
      </c>
      <c r="U70">
        <v>395</v>
      </c>
      <c r="V70">
        <v>-0.60599999999999998</v>
      </c>
      <c r="W70">
        <v>159.68700000000001</v>
      </c>
    </row>
    <row r="71" spans="1:23" x14ac:dyDescent="0.35">
      <c r="A71">
        <v>991272600</v>
      </c>
      <c r="B71" t="s">
        <v>23</v>
      </c>
      <c r="C71">
        <v>2001</v>
      </c>
      <c r="D71">
        <v>5</v>
      </c>
      <c r="E71">
        <v>30</v>
      </c>
      <c r="F71">
        <v>15</v>
      </c>
      <c r="G71">
        <v>30</v>
      </c>
      <c r="H71" s="1">
        <f t="shared" si="1"/>
        <v>37041.645833333336</v>
      </c>
      <c r="I71">
        <v>110.433075</v>
      </c>
      <c r="J71">
        <v>-7.5378869999999996</v>
      </c>
      <c r="K71">
        <v>0.93400000000000005</v>
      </c>
      <c r="L71">
        <v>1.0389999999999999</v>
      </c>
      <c r="M71">
        <v>156.74199999999999</v>
      </c>
      <c r="N71">
        <v>7.6779999999999999</v>
      </c>
      <c r="O71">
        <v>7.23</v>
      </c>
      <c r="P71">
        <v>25.4</v>
      </c>
      <c r="Q71">
        <v>-98.03</v>
      </c>
      <c r="R71">
        <v>159.05000000000001</v>
      </c>
      <c r="S71">
        <v>-46.2</v>
      </c>
      <c r="T71">
        <v>983</v>
      </c>
      <c r="U71">
        <v>396</v>
      </c>
      <c r="V71">
        <v>-0.749</v>
      </c>
      <c r="W71">
        <v>159.68899999999999</v>
      </c>
    </row>
    <row r="72" spans="1:23" x14ac:dyDescent="0.35">
      <c r="A72">
        <v>991272600</v>
      </c>
      <c r="B72" t="s">
        <v>23</v>
      </c>
      <c r="C72">
        <v>2001</v>
      </c>
      <c r="D72">
        <v>5</v>
      </c>
      <c r="E72">
        <v>30</v>
      </c>
      <c r="F72">
        <v>15</v>
      </c>
      <c r="G72">
        <v>30</v>
      </c>
      <c r="H72" s="1">
        <f t="shared" si="1"/>
        <v>37041.645833333336</v>
      </c>
      <c r="I72">
        <v>110.444771</v>
      </c>
      <c r="J72">
        <v>-7.5361669999999998</v>
      </c>
      <c r="K72">
        <v>3.875</v>
      </c>
      <c r="L72">
        <v>-10</v>
      </c>
      <c r="M72">
        <v>156.74199999999999</v>
      </c>
      <c r="N72">
        <v>7.8819999999999997</v>
      </c>
      <c r="O72">
        <v>7.4420000000000002</v>
      </c>
      <c r="P72">
        <v>25.51</v>
      </c>
      <c r="Q72">
        <v>-98.09</v>
      </c>
      <c r="R72">
        <v>159.05000000000001</v>
      </c>
      <c r="S72">
        <v>-46.17</v>
      </c>
      <c r="T72">
        <v>983</v>
      </c>
      <c r="U72">
        <v>395</v>
      </c>
      <c r="V72">
        <v>-0.315</v>
      </c>
      <c r="W72">
        <v>159.59899999999999</v>
      </c>
    </row>
    <row r="73" spans="1:23" x14ac:dyDescent="0.35">
      <c r="A73">
        <v>991877700</v>
      </c>
      <c r="B73" t="s">
        <v>23</v>
      </c>
      <c r="C73">
        <v>2001</v>
      </c>
      <c r="D73">
        <v>6</v>
      </c>
      <c r="E73">
        <v>6</v>
      </c>
      <c r="F73">
        <v>15</v>
      </c>
      <c r="G73">
        <v>35</v>
      </c>
      <c r="H73" s="1">
        <f t="shared" si="1"/>
        <v>37048.649305555555</v>
      </c>
      <c r="I73">
        <v>110.44770800000001</v>
      </c>
      <c r="J73">
        <v>-7.5415190000000001</v>
      </c>
      <c r="K73">
        <v>1.387</v>
      </c>
      <c r="L73">
        <v>1.381</v>
      </c>
      <c r="M73">
        <v>156.74199999999999</v>
      </c>
      <c r="N73">
        <v>7.2439999999999998</v>
      </c>
      <c r="O73">
        <v>6.8049999999999997</v>
      </c>
      <c r="P73">
        <v>36.93</v>
      </c>
      <c r="Q73">
        <v>-99.01</v>
      </c>
      <c r="R73">
        <v>159.28</v>
      </c>
      <c r="S73">
        <v>-42.78</v>
      </c>
      <c r="T73">
        <v>1347</v>
      </c>
      <c r="U73">
        <v>273</v>
      </c>
      <c r="V73">
        <v>-0.66300000000000003</v>
      </c>
      <c r="W73">
        <v>150.005</v>
      </c>
    </row>
    <row r="74" spans="1:23" x14ac:dyDescent="0.35">
      <c r="A74">
        <v>992310900</v>
      </c>
      <c r="B74" t="s">
        <v>23</v>
      </c>
      <c r="C74">
        <v>2001</v>
      </c>
      <c r="D74">
        <v>6</v>
      </c>
      <c r="E74">
        <v>11</v>
      </c>
      <c r="F74">
        <v>15</v>
      </c>
      <c r="G74">
        <v>55</v>
      </c>
      <c r="H74" s="1">
        <f t="shared" si="1"/>
        <v>37053.663194444445</v>
      </c>
      <c r="I74">
        <v>110.46352400000001</v>
      </c>
      <c r="J74">
        <v>-7.5382860000000003</v>
      </c>
      <c r="K74">
        <v>1.5229999999999999</v>
      </c>
      <c r="L74">
        <v>1.484</v>
      </c>
      <c r="M74">
        <v>156.74199999999999</v>
      </c>
      <c r="N74">
        <v>6.96</v>
      </c>
      <c r="O74">
        <v>6.58</v>
      </c>
      <c r="P74">
        <v>59.53</v>
      </c>
      <c r="Q74">
        <v>-99.35</v>
      </c>
      <c r="R74">
        <v>161.52000000000001</v>
      </c>
      <c r="S74">
        <v>-32.229999999999997</v>
      </c>
      <c r="T74">
        <v>584</v>
      </c>
      <c r="U74">
        <v>49</v>
      </c>
      <c r="V74">
        <v>-0.63200000000000001</v>
      </c>
      <c r="W74">
        <v>125.98699999999999</v>
      </c>
    </row>
    <row r="75" spans="1:23" x14ac:dyDescent="0.35">
      <c r="A75">
        <v>992482800</v>
      </c>
      <c r="B75" t="s">
        <v>23</v>
      </c>
      <c r="C75">
        <v>2001</v>
      </c>
      <c r="D75">
        <v>6</v>
      </c>
      <c r="E75">
        <v>13</v>
      </c>
      <c r="F75">
        <v>15</v>
      </c>
      <c r="G75">
        <v>40</v>
      </c>
      <c r="H75" s="1">
        <f t="shared" si="1"/>
        <v>37055.652777777781</v>
      </c>
      <c r="I75">
        <v>110.436432</v>
      </c>
      <c r="J75">
        <v>-7.5411640000000002</v>
      </c>
      <c r="K75">
        <v>1.1259999999999999</v>
      </c>
      <c r="L75">
        <v>1.2070000000000001</v>
      </c>
      <c r="M75">
        <v>156.74199999999999</v>
      </c>
      <c r="N75">
        <v>7.6790000000000003</v>
      </c>
      <c r="O75">
        <v>7.2</v>
      </c>
      <c r="P75">
        <v>46.11</v>
      </c>
      <c r="Q75">
        <v>-98.95</v>
      </c>
      <c r="R75">
        <v>159.63</v>
      </c>
      <c r="S75">
        <v>-40.119999999999997</v>
      </c>
      <c r="T75">
        <v>1675</v>
      </c>
      <c r="U75">
        <v>179</v>
      </c>
      <c r="V75">
        <v>-0.71299999999999997</v>
      </c>
      <c r="W75">
        <v>141.352</v>
      </c>
    </row>
    <row r="76" spans="1:23" x14ac:dyDescent="0.35">
      <c r="A76">
        <v>992482800</v>
      </c>
      <c r="B76" t="s">
        <v>23</v>
      </c>
      <c r="C76">
        <v>2001</v>
      </c>
      <c r="D76">
        <v>6</v>
      </c>
      <c r="E76">
        <v>13</v>
      </c>
      <c r="F76">
        <v>15</v>
      </c>
      <c r="G76">
        <v>40</v>
      </c>
      <c r="H76" s="1">
        <f t="shared" si="1"/>
        <v>37055.652777777781</v>
      </c>
      <c r="I76">
        <v>110.459053</v>
      </c>
      <c r="J76">
        <v>-7.5376070000000004</v>
      </c>
      <c r="K76">
        <v>1.1919999999999999</v>
      </c>
      <c r="L76">
        <v>1.1140000000000001</v>
      </c>
      <c r="M76">
        <v>156.74199999999999</v>
      </c>
      <c r="N76">
        <v>7.5979999999999999</v>
      </c>
      <c r="O76">
        <v>7.1890000000000001</v>
      </c>
      <c r="P76">
        <v>46.11</v>
      </c>
      <c r="Q76">
        <v>-98.95</v>
      </c>
      <c r="R76">
        <v>159.63</v>
      </c>
      <c r="S76">
        <v>-40.07</v>
      </c>
      <c r="T76">
        <v>1675</v>
      </c>
      <c r="U76">
        <v>178</v>
      </c>
      <c r="V76">
        <v>-0.73199999999999998</v>
      </c>
      <c r="W76">
        <v>141.333</v>
      </c>
    </row>
    <row r="77" spans="1:23" x14ac:dyDescent="0.35">
      <c r="A77">
        <v>994470300</v>
      </c>
      <c r="B77" t="s">
        <v>23</v>
      </c>
      <c r="C77">
        <v>2001</v>
      </c>
      <c r="D77">
        <v>7</v>
      </c>
      <c r="E77">
        <v>6</v>
      </c>
      <c r="F77">
        <v>15</v>
      </c>
      <c r="G77">
        <v>45</v>
      </c>
      <c r="H77" s="1">
        <f t="shared" si="1"/>
        <v>37078.65625</v>
      </c>
      <c r="I77">
        <v>110.439148</v>
      </c>
      <c r="J77">
        <v>-7.5446390000000001</v>
      </c>
      <c r="K77">
        <v>0.72599999999999998</v>
      </c>
      <c r="L77">
        <v>0.79900000000000004</v>
      </c>
      <c r="M77">
        <v>165.16</v>
      </c>
      <c r="N77">
        <v>7.2110000000000003</v>
      </c>
      <c r="O77">
        <v>6.8869999999999996</v>
      </c>
      <c r="P77">
        <v>53.27</v>
      </c>
      <c r="Q77">
        <v>-99.18</v>
      </c>
      <c r="R77">
        <v>160.13999999999999</v>
      </c>
      <c r="S77">
        <v>-41.17</v>
      </c>
      <c r="T77">
        <v>1825</v>
      </c>
      <c r="U77">
        <v>107</v>
      </c>
      <c r="V77">
        <v>-0.79200000000000004</v>
      </c>
      <c r="W77">
        <v>135.15899999999999</v>
      </c>
    </row>
    <row r="78" spans="1:23" x14ac:dyDescent="0.35">
      <c r="A78">
        <v>994642500</v>
      </c>
      <c r="B78" t="s">
        <v>23</v>
      </c>
      <c r="C78">
        <v>2001</v>
      </c>
      <c r="D78">
        <v>7</v>
      </c>
      <c r="E78">
        <v>8</v>
      </c>
      <c r="F78">
        <v>15</v>
      </c>
      <c r="G78">
        <v>35</v>
      </c>
      <c r="H78" s="1">
        <f t="shared" si="1"/>
        <v>37080.649305555555</v>
      </c>
      <c r="I78">
        <v>110.44062</v>
      </c>
      <c r="J78">
        <v>-7.5457400000000003</v>
      </c>
      <c r="K78">
        <v>1.6419999999999999</v>
      </c>
      <c r="L78">
        <v>1.9350000000000001</v>
      </c>
      <c r="M78">
        <v>165.16</v>
      </c>
      <c r="N78">
        <v>7.6210000000000004</v>
      </c>
      <c r="O78">
        <v>7.1449999999999996</v>
      </c>
      <c r="P78">
        <v>36.479999999999997</v>
      </c>
      <c r="Q78">
        <v>-98.26</v>
      </c>
      <c r="R78">
        <v>158.25</v>
      </c>
      <c r="S78">
        <v>-46.02</v>
      </c>
      <c r="T78">
        <v>922</v>
      </c>
      <c r="U78">
        <v>277</v>
      </c>
      <c r="V78">
        <v>-0.57399999999999995</v>
      </c>
      <c r="W78">
        <v>151.881</v>
      </c>
    </row>
    <row r="79" spans="1:23" x14ac:dyDescent="0.35">
      <c r="A79">
        <v>994642500</v>
      </c>
      <c r="B79" t="s">
        <v>23</v>
      </c>
      <c r="C79">
        <v>2001</v>
      </c>
      <c r="D79">
        <v>7</v>
      </c>
      <c r="E79">
        <v>8</v>
      </c>
      <c r="F79">
        <v>15</v>
      </c>
      <c r="G79">
        <v>35</v>
      </c>
      <c r="H79" s="1">
        <f t="shared" si="1"/>
        <v>37080.649305555555</v>
      </c>
      <c r="I79">
        <v>110.45584100000001</v>
      </c>
      <c r="J79">
        <v>-7.543463</v>
      </c>
      <c r="K79">
        <v>2.2000000000000002</v>
      </c>
      <c r="L79">
        <v>-10</v>
      </c>
      <c r="M79">
        <v>165.16</v>
      </c>
      <c r="N79">
        <v>7.6740000000000004</v>
      </c>
      <c r="O79">
        <v>7.2830000000000004</v>
      </c>
      <c r="P79">
        <v>36.71</v>
      </c>
      <c r="Q79">
        <v>-98.26</v>
      </c>
      <c r="R79">
        <v>158.25</v>
      </c>
      <c r="S79">
        <v>-45.99</v>
      </c>
      <c r="T79">
        <v>922</v>
      </c>
      <c r="U79">
        <v>276</v>
      </c>
      <c r="V79">
        <v>-0.53600000000000003</v>
      </c>
      <c r="W79">
        <v>151.697</v>
      </c>
    </row>
    <row r="80" spans="1:23" x14ac:dyDescent="0.35">
      <c r="A80">
        <v>994814700</v>
      </c>
      <c r="B80" t="s">
        <v>23</v>
      </c>
      <c r="C80">
        <v>2001</v>
      </c>
      <c r="D80">
        <v>7</v>
      </c>
      <c r="E80">
        <v>10</v>
      </c>
      <c r="F80">
        <v>15</v>
      </c>
      <c r="G80">
        <v>25</v>
      </c>
      <c r="H80" s="1">
        <f t="shared" si="1"/>
        <v>37082.642361111109</v>
      </c>
      <c r="I80">
        <v>110.437546</v>
      </c>
      <c r="J80">
        <v>-7.5424389999999999</v>
      </c>
      <c r="K80">
        <v>3.0630000000000002</v>
      </c>
      <c r="L80">
        <v>-10</v>
      </c>
      <c r="M80">
        <v>165.16</v>
      </c>
      <c r="N80">
        <v>8.2690000000000001</v>
      </c>
      <c r="O80">
        <v>7.6619999999999999</v>
      </c>
      <c r="P80">
        <v>11.36</v>
      </c>
      <c r="Q80">
        <v>-97.69</v>
      </c>
      <c r="R80">
        <v>156.07</v>
      </c>
      <c r="S80">
        <v>-50.18</v>
      </c>
      <c r="T80">
        <v>14</v>
      </c>
      <c r="U80">
        <v>551</v>
      </c>
      <c r="V80">
        <v>-0.42899999999999999</v>
      </c>
      <c r="W80">
        <v>161.834</v>
      </c>
    </row>
    <row r="81" spans="1:23" x14ac:dyDescent="0.35">
      <c r="A81">
        <v>994814700</v>
      </c>
      <c r="B81" t="s">
        <v>23</v>
      </c>
      <c r="C81">
        <v>2001</v>
      </c>
      <c r="D81">
        <v>7</v>
      </c>
      <c r="E81">
        <v>10</v>
      </c>
      <c r="F81">
        <v>15</v>
      </c>
      <c r="G81">
        <v>25</v>
      </c>
      <c r="H81" s="1">
        <f t="shared" si="1"/>
        <v>37082.642361111109</v>
      </c>
      <c r="I81">
        <v>110.44731899999999</v>
      </c>
      <c r="J81">
        <v>-7.5410349999999999</v>
      </c>
      <c r="K81">
        <v>3.8940000000000001</v>
      </c>
      <c r="L81">
        <v>-10</v>
      </c>
      <c r="M81">
        <v>165.16</v>
      </c>
      <c r="N81">
        <v>8.0359999999999996</v>
      </c>
      <c r="O81">
        <v>7.6760000000000002</v>
      </c>
      <c r="P81">
        <v>11.41</v>
      </c>
      <c r="Q81">
        <v>-97.69</v>
      </c>
      <c r="R81">
        <v>156.07</v>
      </c>
      <c r="S81">
        <v>-50.17</v>
      </c>
      <c r="T81">
        <v>14</v>
      </c>
      <c r="U81">
        <v>550</v>
      </c>
      <c r="V81">
        <v>-0.32700000000000001</v>
      </c>
      <c r="W81">
        <v>161.85300000000001</v>
      </c>
    </row>
    <row r="82" spans="1:23" x14ac:dyDescent="0.35">
      <c r="A82">
        <v>995247600</v>
      </c>
      <c r="B82" t="s">
        <v>23</v>
      </c>
      <c r="C82">
        <v>2001</v>
      </c>
      <c r="D82">
        <v>7</v>
      </c>
      <c r="E82">
        <v>15</v>
      </c>
      <c r="F82">
        <v>15</v>
      </c>
      <c r="G82">
        <v>40</v>
      </c>
      <c r="H82" s="1">
        <f t="shared" si="1"/>
        <v>37087.652777777781</v>
      </c>
      <c r="I82">
        <v>110.43898</v>
      </c>
      <c r="J82">
        <v>-7.5365979999999997</v>
      </c>
      <c r="K82">
        <v>1.359</v>
      </c>
      <c r="L82">
        <v>1.5329999999999999</v>
      </c>
      <c r="M82">
        <v>165.16</v>
      </c>
      <c r="N82">
        <v>7.593</v>
      </c>
      <c r="O82">
        <v>7.2270000000000003</v>
      </c>
      <c r="P82">
        <v>46.11</v>
      </c>
      <c r="Q82">
        <v>-98.95</v>
      </c>
      <c r="R82">
        <v>159.80000000000001</v>
      </c>
      <c r="S82">
        <v>-46.39</v>
      </c>
      <c r="T82">
        <v>1385</v>
      </c>
      <c r="U82">
        <v>177</v>
      </c>
      <c r="V82">
        <v>-0.65</v>
      </c>
      <c r="W82">
        <v>143.49100000000001</v>
      </c>
    </row>
    <row r="83" spans="1:23" x14ac:dyDescent="0.35">
      <c r="A83">
        <v>995247600</v>
      </c>
      <c r="B83" t="s">
        <v>23</v>
      </c>
      <c r="C83">
        <v>2001</v>
      </c>
      <c r="D83">
        <v>7</v>
      </c>
      <c r="E83">
        <v>15</v>
      </c>
      <c r="F83">
        <v>15</v>
      </c>
      <c r="G83">
        <v>40</v>
      </c>
      <c r="H83" s="1">
        <f t="shared" si="1"/>
        <v>37087.652777777781</v>
      </c>
      <c r="I83">
        <v>110.46405</v>
      </c>
      <c r="J83">
        <v>-7.5326529999999998</v>
      </c>
      <c r="K83">
        <v>0.85799999999999998</v>
      </c>
      <c r="L83">
        <v>0.83199999999999996</v>
      </c>
      <c r="M83">
        <v>165.16</v>
      </c>
      <c r="N83">
        <v>7.5190000000000001</v>
      </c>
      <c r="O83">
        <v>7.149</v>
      </c>
      <c r="P83">
        <v>46.33</v>
      </c>
      <c r="Q83">
        <v>-98.95</v>
      </c>
      <c r="R83">
        <v>159.80000000000001</v>
      </c>
      <c r="S83">
        <v>-46.34</v>
      </c>
      <c r="T83">
        <v>1385</v>
      </c>
      <c r="U83">
        <v>176</v>
      </c>
      <c r="V83">
        <v>-0.79200000000000004</v>
      </c>
      <c r="W83">
        <v>143.273</v>
      </c>
    </row>
    <row r="84" spans="1:23" x14ac:dyDescent="0.35">
      <c r="A84">
        <v>995375400</v>
      </c>
      <c r="B84" t="s">
        <v>23</v>
      </c>
      <c r="C84">
        <v>2001</v>
      </c>
      <c r="D84">
        <v>7</v>
      </c>
      <c r="E84">
        <v>17</v>
      </c>
      <c r="F84">
        <v>3</v>
      </c>
      <c r="G84">
        <v>10</v>
      </c>
      <c r="H84" s="1">
        <f t="shared" si="1"/>
        <v>37089.131944444445</v>
      </c>
      <c r="I84">
        <v>110.448685</v>
      </c>
      <c r="J84">
        <v>-7.541976</v>
      </c>
      <c r="K84">
        <v>2.8420000000000001</v>
      </c>
      <c r="L84">
        <v>-10</v>
      </c>
      <c r="M84">
        <v>17.867999999999999</v>
      </c>
      <c r="N84">
        <v>8.7759999999999998</v>
      </c>
      <c r="O84">
        <v>8.0389999999999997</v>
      </c>
      <c r="P84">
        <v>5.43</v>
      </c>
      <c r="Q84">
        <v>-82.22</v>
      </c>
      <c r="R84">
        <v>36.33</v>
      </c>
      <c r="S84">
        <v>38.39</v>
      </c>
      <c r="T84">
        <v>1504</v>
      </c>
      <c r="U84">
        <v>737</v>
      </c>
      <c r="V84">
        <v>-0.58899999999999997</v>
      </c>
      <c r="W84">
        <v>34.412999999999997</v>
      </c>
    </row>
    <row r="85" spans="1:23" x14ac:dyDescent="0.35">
      <c r="A85">
        <v>995375400</v>
      </c>
      <c r="B85" t="s">
        <v>23</v>
      </c>
      <c r="C85">
        <v>2001</v>
      </c>
      <c r="D85">
        <v>7</v>
      </c>
      <c r="E85">
        <v>17</v>
      </c>
      <c r="F85">
        <v>3</v>
      </c>
      <c r="G85">
        <v>10</v>
      </c>
      <c r="H85" s="1">
        <f t="shared" si="1"/>
        <v>37089.131944444445</v>
      </c>
      <c r="I85">
        <v>110.439346</v>
      </c>
      <c r="J85">
        <v>-7.5406209999999998</v>
      </c>
      <c r="K85">
        <v>3.0150000000000001</v>
      </c>
      <c r="L85">
        <v>-10</v>
      </c>
      <c r="M85">
        <v>11.076000000000001</v>
      </c>
      <c r="N85">
        <v>9.3160000000000007</v>
      </c>
      <c r="O85">
        <v>8.6820000000000004</v>
      </c>
      <c r="P85">
        <v>5.32</v>
      </c>
      <c r="Q85">
        <v>-82.22</v>
      </c>
      <c r="R85">
        <v>36.33</v>
      </c>
      <c r="S85">
        <v>38.4</v>
      </c>
      <c r="T85">
        <v>1504</v>
      </c>
      <c r="U85">
        <v>736</v>
      </c>
      <c r="V85">
        <v>-0.54700000000000004</v>
      </c>
      <c r="W85">
        <v>34.462000000000003</v>
      </c>
    </row>
    <row r="86" spans="1:23" x14ac:dyDescent="0.35">
      <c r="A86">
        <v>995419800</v>
      </c>
      <c r="B86" t="s">
        <v>23</v>
      </c>
      <c r="C86">
        <v>2001</v>
      </c>
      <c r="D86">
        <v>7</v>
      </c>
      <c r="E86">
        <v>17</v>
      </c>
      <c r="F86">
        <v>15</v>
      </c>
      <c r="G86">
        <v>30</v>
      </c>
      <c r="H86" s="1">
        <f t="shared" si="1"/>
        <v>37089.645833333336</v>
      </c>
      <c r="I86">
        <v>110.44695299999999</v>
      </c>
      <c r="J86">
        <v>-7.5372279999999998</v>
      </c>
      <c r="K86">
        <v>1.9890000000000001</v>
      </c>
      <c r="L86">
        <v>-10</v>
      </c>
      <c r="M86">
        <v>165.16</v>
      </c>
      <c r="N86">
        <v>7.6779999999999999</v>
      </c>
      <c r="O86">
        <v>7.3490000000000002</v>
      </c>
      <c r="P86">
        <v>25.51</v>
      </c>
      <c r="Q86">
        <v>-98.09</v>
      </c>
      <c r="R86">
        <v>157.74</v>
      </c>
      <c r="S86">
        <v>-50.96</v>
      </c>
      <c r="T86">
        <v>473</v>
      </c>
      <c r="U86">
        <v>395</v>
      </c>
      <c r="V86">
        <v>-0.57399999999999995</v>
      </c>
      <c r="W86">
        <v>161.071</v>
      </c>
    </row>
    <row r="87" spans="1:23" x14ac:dyDescent="0.35">
      <c r="A87">
        <v>995591700</v>
      </c>
      <c r="B87" t="s">
        <v>23</v>
      </c>
      <c r="C87">
        <v>2001</v>
      </c>
      <c r="D87">
        <v>7</v>
      </c>
      <c r="E87">
        <v>19</v>
      </c>
      <c r="F87">
        <v>15</v>
      </c>
      <c r="G87">
        <v>15</v>
      </c>
      <c r="H87" s="1">
        <f t="shared" si="1"/>
        <v>37091.635416666664</v>
      </c>
      <c r="I87">
        <v>110.438942</v>
      </c>
      <c r="J87">
        <v>-7.5423689999999999</v>
      </c>
      <c r="K87">
        <v>2.1269999999999998</v>
      </c>
      <c r="L87">
        <v>-10</v>
      </c>
      <c r="M87">
        <v>165.16</v>
      </c>
      <c r="N87">
        <v>7.7880000000000003</v>
      </c>
      <c r="O87">
        <v>7.3010000000000002</v>
      </c>
      <c r="P87">
        <v>2.97</v>
      </c>
      <c r="Q87">
        <v>82.74</v>
      </c>
      <c r="R87">
        <v>155.44</v>
      </c>
      <c r="S87">
        <v>-56.26</v>
      </c>
      <c r="T87">
        <v>1616</v>
      </c>
      <c r="U87">
        <v>710</v>
      </c>
      <c r="V87">
        <v>-0.54900000000000004</v>
      </c>
      <c r="W87">
        <v>152.34800000000001</v>
      </c>
    </row>
    <row r="88" spans="1:23" x14ac:dyDescent="0.35">
      <c r="A88">
        <v>995591700</v>
      </c>
      <c r="B88" t="s">
        <v>23</v>
      </c>
      <c r="C88">
        <v>2001</v>
      </c>
      <c r="D88">
        <v>7</v>
      </c>
      <c r="E88">
        <v>19</v>
      </c>
      <c r="F88">
        <v>15</v>
      </c>
      <c r="G88">
        <v>15</v>
      </c>
      <c r="H88" s="1">
        <f t="shared" si="1"/>
        <v>37091.635416666664</v>
      </c>
      <c r="I88">
        <v>110.44781500000001</v>
      </c>
      <c r="J88">
        <v>-7.5411190000000001</v>
      </c>
      <c r="K88">
        <v>1.097</v>
      </c>
      <c r="L88">
        <v>0.96099999999999997</v>
      </c>
      <c r="M88">
        <v>165.16</v>
      </c>
      <c r="N88">
        <v>7.202</v>
      </c>
      <c r="O88">
        <v>6.8659999999999997</v>
      </c>
      <c r="P88">
        <v>2.91</v>
      </c>
      <c r="Q88">
        <v>82.79</v>
      </c>
      <c r="R88">
        <v>155.44</v>
      </c>
      <c r="S88">
        <v>-56.25</v>
      </c>
      <c r="T88">
        <v>1616</v>
      </c>
      <c r="U88">
        <v>709</v>
      </c>
      <c r="V88">
        <v>-0.754</v>
      </c>
      <c r="W88">
        <v>152.398</v>
      </c>
    </row>
    <row r="89" spans="1:23" x14ac:dyDescent="0.35">
      <c r="A89">
        <v>995852700</v>
      </c>
      <c r="B89" t="s">
        <v>23</v>
      </c>
      <c r="C89">
        <v>2001</v>
      </c>
      <c r="D89">
        <v>7</v>
      </c>
      <c r="E89">
        <v>22</v>
      </c>
      <c r="F89">
        <v>15</v>
      </c>
      <c r="G89">
        <v>45</v>
      </c>
      <c r="H89" s="1">
        <f t="shared" si="1"/>
        <v>37094.65625</v>
      </c>
      <c r="I89">
        <v>110.457756</v>
      </c>
      <c r="J89">
        <v>-7.5397959999999999</v>
      </c>
      <c r="K89">
        <v>0.98099999999999998</v>
      </c>
      <c r="L89">
        <v>0.99299999999999999</v>
      </c>
      <c r="M89">
        <v>165.16</v>
      </c>
      <c r="N89">
        <v>6.2450000000000001</v>
      </c>
      <c r="O89">
        <v>5.97</v>
      </c>
      <c r="P89">
        <v>53.71</v>
      </c>
      <c r="Q89">
        <v>-99.35</v>
      </c>
      <c r="R89">
        <v>161.63</v>
      </c>
      <c r="S89">
        <v>-47.28</v>
      </c>
      <c r="T89">
        <v>1826</v>
      </c>
      <c r="U89">
        <v>102</v>
      </c>
      <c r="V89">
        <v>-0.71499999999999997</v>
      </c>
      <c r="W89">
        <v>136.19800000000001</v>
      </c>
    </row>
    <row r="90" spans="1:23" x14ac:dyDescent="0.35">
      <c r="A90">
        <v>995852700</v>
      </c>
      <c r="B90" t="s">
        <v>23</v>
      </c>
      <c r="C90">
        <v>2001</v>
      </c>
      <c r="D90">
        <v>7</v>
      </c>
      <c r="E90">
        <v>22</v>
      </c>
      <c r="F90">
        <v>15</v>
      </c>
      <c r="G90">
        <v>45</v>
      </c>
      <c r="H90" s="1">
        <f t="shared" si="1"/>
        <v>37094.65625</v>
      </c>
      <c r="I90">
        <v>110.446861</v>
      </c>
      <c r="J90">
        <v>-7.5356209999999999</v>
      </c>
      <c r="K90">
        <v>0.76300000000000001</v>
      </c>
      <c r="L90">
        <v>0.95099999999999996</v>
      </c>
      <c r="M90">
        <v>165.16</v>
      </c>
      <c r="N90">
        <v>6.2549999999999999</v>
      </c>
      <c r="O90">
        <v>5.9420000000000002</v>
      </c>
      <c r="P90">
        <v>53.71</v>
      </c>
      <c r="Q90">
        <v>-98.66</v>
      </c>
      <c r="R90">
        <v>161.63</v>
      </c>
      <c r="S90">
        <v>-47.29</v>
      </c>
      <c r="T90">
        <v>1830</v>
      </c>
      <c r="U90">
        <v>102</v>
      </c>
      <c r="V90">
        <v>-0.72399999999999998</v>
      </c>
      <c r="W90">
        <v>136.41300000000001</v>
      </c>
    </row>
    <row r="91" spans="1:23" x14ac:dyDescent="0.35">
      <c r="A91">
        <v>996974100</v>
      </c>
      <c r="B91" t="s">
        <v>23</v>
      </c>
      <c r="C91">
        <v>2001</v>
      </c>
      <c r="D91">
        <v>8</v>
      </c>
      <c r="E91">
        <v>4</v>
      </c>
      <c r="F91">
        <v>15</v>
      </c>
      <c r="G91">
        <v>15</v>
      </c>
      <c r="H91" s="1">
        <f t="shared" si="1"/>
        <v>37107.635416666664</v>
      </c>
      <c r="I91">
        <v>110.438103</v>
      </c>
      <c r="J91">
        <v>-7.5433649999999997</v>
      </c>
      <c r="K91">
        <v>0.89300000000000002</v>
      </c>
      <c r="L91">
        <v>0.97499999999999998</v>
      </c>
      <c r="M91">
        <v>165.16</v>
      </c>
      <c r="N91">
        <v>7.5369999999999999</v>
      </c>
      <c r="O91">
        <v>7.2080000000000002</v>
      </c>
      <c r="P91">
        <v>2.34</v>
      </c>
      <c r="Q91">
        <v>74.260000000000005</v>
      </c>
      <c r="R91">
        <v>157.05000000000001</v>
      </c>
      <c r="S91">
        <v>-64.19</v>
      </c>
      <c r="T91">
        <v>1522</v>
      </c>
      <c r="U91">
        <v>703</v>
      </c>
      <c r="V91">
        <v>-0.76200000000000001</v>
      </c>
      <c r="W91">
        <v>154.428</v>
      </c>
    </row>
    <row r="92" spans="1:23" x14ac:dyDescent="0.35">
      <c r="A92">
        <v>996974100</v>
      </c>
      <c r="B92" t="s">
        <v>23</v>
      </c>
      <c r="C92">
        <v>2001</v>
      </c>
      <c r="D92">
        <v>8</v>
      </c>
      <c r="E92">
        <v>4</v>
      </c>
      <c r="F92">
        <v>15</v>
      </c>
      <c r="G92">
        <v>15</v>
      </c>
      <c r="H92" s="1">
        <f t="shared" si="1"/>
        <v>37107.635416666664</v>
      </c>
      <c r="I92">
        <v>110.447006</v>
      </c>
      <c r="J92">
        <v>-7.5421189999999996</v>
      </c>
      <c r="K92">
        <v>0.84499999999999997</v>
      </c>
      <c r="L92">
        <v>0.81200000000000006</v>
      </c>
      <c r="M92">
        <v>165.16</v>
      </c>
      <c r="N92">
        <v>7.3929999999999998</v>
      </c>
      <c r="O92">
        <v>7.1159999999999997</v>
      </c>
      <c r="P92">
        <v>2.2799999999999998</v>
      </c>
      <c r="Q92">
        <v>73.91</v>
      </c>
      <c r="R92">
        <v>157.05000000000001</v>
      </c>
      <c r="S92">
        <v>-64.180000000000007</v>
      </c>
      <c r="T92">
        <v>1522</v>
      </c>
      <c r="U92">
        <v>702</v>
      </c>
      <c r="V92">
        <v>-0.79500000000000004</v>
      </c>
      <c r="W92">
        <v>154.488</v>
      </c>
    </row>
    <row r="93" spans="1:23" x14ac:dyDescent="0.35">
      <c r="A93">
        <v>997146300</v>
      </c>
      <c r="B93" t="s">
        <v>23</v>
      </c>
      <c r="C93">
        <v>2001</v>
      </c>
      <c r="D93">
        <v>8</v>
      </c>
      <c r="E93">
        <v>6</v>
      </c>
      <c r="F93">
        <v>15</v>
      </c>
      <c r="G93">
        <v>5</v>
      </c>
      <c r="H93" s="1">
        <f t="shared" si="1"/>
        <v>37109.628472222219</v>
      </c>
      <c r="I93">
        <v>110.43654600000001</v>
      </c>
      <c r="J93">
        <v>-7.5425800000000001</v>
      </c>
      <c r="K93">
        <v>1.0720000000000001</v>
      </c>
      <c r="L93">
        <v>1.1359999999999999</v>
      </c>
      <c r="M93">
        <v>165.16</v>
      </c>
      <c r="N93">
        <v>7.0839999999999996</v>
      </c>
      <c r="O93">
        <v>6.7830000000000004</v>
      </c>
      <c r="P93">
        <v>29.77</v>
      </c>
      <c r="Q93">
        <v>81.59</v>
      </c>
      <c r="R93">
        <v>154.53</v>
      </c>
      <c r="S93">
        <v>-67.25</v>
      </c>
      <c r="T93">
        <v>592</v>
      </c>
      <c r="U93">
        <v>1006</v>
      </c>
      <c r="V93">
        <v>-0.71299999999999997</v>
      </c>
      <c r="W93">
        <v>126.61499999999999</v>
      </c>
    </row>
    <row r="94" spans="1:23" x14ac:dyDescent="0.35">
      <c r="A94">
        <v>997235100</v>
      </c>
      <c r="B94" t="s">
        <v>23</v>
      </c>
      <c r="C94">
        <v>2001</v>
      </c>
      <c r="D94">
        <v>8</v>
      </c>
      <c r="E94">
        <v>7</v>
      </c>
      <c r="F94">
        <v>15</v>
      </c>
      <c r="G94">
        <v>45</v>
      </c>
      <c r="H94" s="1">
        <f t="shared" si="1"/>
        <v>37110.65625</v>
      </c>
      <c r="I94">
        <v>110.454605</v>
      </c>
      <c r="J94">
        <v>-7.5417550000000002</v>
      </c>
      <c r="K94">
        <v>1.661</v>
      </c>
      <c r="L94">
        <v>1.748</v>
      </c>
      <c r="M94">
        <v>165.16</v>
      </c>
      <c r="N94">
        <v>7.665</v>
      </c>
      <c r="O94">
        <v>7.2889999999999997</v>
      </c>
      <c r="P94">
        <v>53.94</v>
      </c>
      <c r="Q94">
        <v>-99.35</v>
      </c>
      <c r="R94">
        <v>164.04</v>
      </c>
      <c r="S94">
        <v>-57.39</v>
      </c>
      <c r="T94">
        <v>1736</v>
      </c>
      <c r="U94">
        <v>100</v>
      </c>
      <c r="V94">
        <v>-0.61299999999999999</v>
      </c>
      <c r="W94">
        <v>137.51900000000001</v>
      </c>
    </row>
    <row r="95" spans="1:23" x14ac:dyDescent="0.35">
      <c r="A95">
        <v>997235100</v>
      </c>
      <c r="B95" t="s">
        <v>23</v>
      </c>
      <c r="C95">
        <v>2001</v>
      </c>
      <c r="D95">
        <v>8</v>
      </c>
      <c r="E95">
        <v>7</v>
      </c>
      <c r="F95">
        <v>15</v>
      </c>
      <c r="G95">
        <v>45</v>
      </c>
      <c r="H95" s="1">
        <f t="shared" si="1"/>
        <v>37110.65625</v>
      </c>
      <c r="I95">
        <v>110.442093</v>
      </c>
      <c r="J95">
        <v>-7.5383230000000001</v>
      </c>
      <c r="K95">
        <v>1.179</v>
      </c>
      <c r="L95">
        <v>1.5469999999999999</v>
      </c>
      <c r="M95">
        <v>165.16</v>
      </c>
      <c r="N95">
        <v>7.5979999999999999</v>
      </c>
      <c r="O95">
        <v>7.2240000000000002</v>
      </c>
      <c r="P95">
        <v>53.94</v>
      </c>
      <c r="Q95">
        <v>-98.66</v>
      </c>
      <c r="R95">
        <v>164.04</v>
      </c>
      <c r="S95">
        <v>-57.4</v>
      </c>
      <c r="T95">
        <v>1740</v>
      </c>
      <c r="U95">
        <v>100</v>
      </c>
      <c r="V95">
        <v>-0.64700000000000002</v>
      </c>
      <c r="W95">
        <v>137.68700000000001</v>
      </c>
    </row>
    <row r="96" spans="1:23" x14ac:dyDescent="0.35">
      <c r="A96">
        <v>997407300</v>
      </c>
      <c r="B96" t="s">
        <v>23</v>
      </c>
      <c r="C96">
        <v>2001</v>
      </c>
      <c r="D96">
        <v>8</v>
      </c>
      <c r="E96">
        <v>9</v>
      </c>
      <c r="F96">
        <v>15</v>
      </c>
      <c r="G96">
        <v>35</v>
      </c>
      <c r="H96" s="1">
        <f t="shared" si="1"/>
        <v>37112.649305555555</v>
      </c>
      <c r="I96">
        <v>110.454964</v>
      </c>
      <c r="J96">
        <v>-7.5433979999999998</v>
      </c>
      <c r="K96">
        <v>0.871</v>
      </c>
      <c r="L96">
        <v>0.83599999999999997</v>
      </c>
      <c r="M96">
        <v>165.16</v>
      </c>
      <c r="N96">
        <v>7.4530000000000003</v>
      </c>
      <c r="O96">
        <v>7.1260000000000003</v>
      </c>
      <c r="P96">
        <v>37.6</v>
      </c>
      <c r="Q96">
        <v>-99.35</v>
      </c>
      <c r="R96">
        <v>161.75</v>
      </c>
      <c r="S96">
        <v>-62.52</v>
      </c>
      <c r="T96">
        <v>809</v>
      </c>
      <c r="U96">
        <v>266</v>
      </c>
      <c r="V96">
        <v>-0.79</v>
      </c>
      <c r="W96">
        <v>155.08099999999999</v>
      </c>
    </row>
    <row r="97" spans="1:23" x14ac:dyDescent="0.35">
      <c r="A97">
        <v>997407300</v>
      </c>
      <c r="B97" t="s">
        <v>23</v>
      </c>
      <c r="C97">
        <v>2001</v>
      </c>
      <c r="D97">
        <v>8</v>
      </c>
      <c r="E97">
        <v>9</v>
      </c>
      <c r="F97">
        <v>15</v>
      </c>
      <c r="G97">
        <v>35</v>
      </c>
      <c r="H97" s="1">
        <f t="shared" si="1"/>
        <v>37112.649305555555</v>
      </c>
      <c r="I97">
        <v>110.447411</v>
      </c>
      <c r="J97">
        <v>-7.5423150000000003</v>
      </c>
      <c r="K97">
        <v>1.0780000000000001</v>
      </c>
      <c r="L97">
        <v>1.1160000000000001</v>
      </c>
      <c r="M97">
        <v>165.16</v>
      </c>
      <c r="N97">
        <v>7.6230000000000002</v>
      </c>
      <c r="O97">
        <v>7.2629999999999999</v>
      </c>
      <c r="P97">
        <v>37.6</v>
      </c>
      <c r="Q97">
        <v>-98.15</v>
      </c>
      <c r="R97">
        <v>161.75</v>
      </c>
      <c r="S97">
        <v>-62.53</v>
      </c>
      <c r="T97">
        <v>811</v>
      </c>
      <c r="U97">
        <v>266</v>
      </c>
      <c r="V97">
        <v>-0.73399999999999999</v>
      </c>
      <c r="W97">
        <v>155.41800000000001</v>
      </c>
    </row>
    <row r="98" spans="1:23" x14ac:dyDescent="0.35">
      <c r="A98">
        <v>997579200</v>
      </c>
      <c r="B98" t="s">
        <v>23</v>
      </c>
      <c r="C98">
        <v>2001</v>
      </c>
      <c r="D98">
        <v>8</v>
      </c>
      <c r="E98">
        <v>11</v>
      </c>
      <c r="F98">
        <v>15</v>
      </c>
      <c r="G98">
        <v>20</v>
      </c>
      <c r="H98" s="1">
        <f t="shared" si="1"/>
        <v>37114.638888888891</v>
      </c>
      <c r="I98">
        <v>110.440735</v>
      </c>
      <c r="J98">
        <v>-7.5428600000000001</v>
      </c>
      <c r="K98">
        <v>1.387</v>
      </c>
      <c r="L98">
        <v>1.4990000000000001</v>
      </c>
      <c r="M98">
        <v>165.16</v>
      </c>
      <c r="N98">
        <v>7.9089999999999998</v>
      </c>
      <c r="O98">
        <v>7.53</v>
      </c>
      <c r="P98">
        <v>12.65</v>
      </c>
      <c r="Q98">
        <v>-99.81</v>
      </c>
      <c r="R98">
        <v>159.28</v>
      </c>
      <c r="S98">
        <v>-67.790000000000006</v>
      </c>
      <c r="T98">
        <v>1919</v>
      </c>
      <c r="U98">
        <v>537</v>
      </c>
      <c r="V98">
        <v>-0.66800000000000004</v>
      </c>
      <c r="W98">
        <v>167.15799999999999</v>
      </c>
    </row>
    <row r="99" spans="1:23" x14ac:dyDescent="0.35">
      <c r="A99">
        <v>998012400</v>
      </c>
      <c r="B99" t="s">
        <v>23</v>
      </c>
      <c r="C99">
        <v>2001</v>
      </c>
      <c r="D99">
        <v>8</v>
      </c>
      <c r="E99">
        <v>16</v>
      </c>
      <c r="F99">
        <v>15</v>
      </c>
      <c r="G99">
        <v>40</v>
      </c>
      <c r="H99" s="1">
        <f t="shared" si="1"/>
        <v>37119.652777777781</v>
      </c>
      <c r="I99">
        <v>110.443871</v>
      </c>
      <c r="J99">
        <v>-7.5462809999999996</v>
      </c>
      <c r="K99">
        <v>0.77600000000000002</v>
      </c>
      <c r="L99">
        <v>0.81499999999999995</v>
      </c>
      <c r="M99">
        <v>165.16</v>
      </c>
      <c r="N99">
        <v>7.3810000000000002</v>
      </c>
      <c r="O99">
        <v>7.0469999999999997</v>
      </c>
      <c r="P99">
        <v>46.78</v>
      </c>
      <c r="Q99">
        <v>-99.35</v>
      </c>
      <c r="R99">
        <v>164.21</v>
      </c>
      <c r="S99">
        <v>-67.23</v>
      </c>
      <c r="T99">
        <v>1188</v>
      </c>
      <c r="U99">
        <v>172</v>
      </c>
      <c r="V99">
        <v>-0.79300000000000004</v>
      </c>
      <c r="W99">
        <v>146.27699999999999</v>
      </c>
    </row>
    <row r="100" spans="1:23" x14ac:dyDescent="0.35">
      <c r="A100">
        <v>998012400</v>
      </c>
      <c r="B100" t="s">
        <v>23</v>
      </c>
      <c r="C100">
        <v>2001</v>
      </c>
      <c r="D100">
        <v>8</v>
      </c>
      <c r="E100">
        <v>16</v>
      </c>
      <c r="F100">
        <v>15</v>
      </c>
      <c r="G100">
        <v>40</v>
      </c>
      <c r="H100" s="1">
        <f t="shared" si="1"/>
        <v>37119.652777777781</v>
      </c>
      <c r="I100">
        <v>110.45817599999999</v>
      </c>
      <c r="J100">
        <v>-7.541283</v>
      </c>
      <c r="K100">
        <v>0.91800000000000004</v>
      </c>
      <c r="L100">
        <v>0.91</v>
      </c>
      <c r="M100">
        <v>165.16</v>
      </c>
      <c r="N100">
        <v>7.4219999999999997</v>
      </c>
      <c r="O100">
        <v>7.0979999999999999</v>
      </c>
      <c r="P100">
        <v>46.78</v>
      </c>
      <c r="Q100">
        <v>-98.49</v>
      </c>
      <c r="R100">
        <v>164.21</v>
      </c>
      <c r="S100">
        <v>-67.19</v>
      </c>
      <c r="T100">
        <v>1191</v>
      </c>
      <c r="U100">
        <v>171</v>
      </c>
      <c r="V100">
        <v>-0.77300000000000002</v>
      </c>
      <c r="W100">
        <v>146.43100000000001</v>
      </c>
    </row>
    <row r="101" spans="1:23" x14ac:dyDescent="0.35">
      <c r="A101">
        <v>998184600</v>
      </c>
      <c r="B101" t="s">
        <v>23</v>
      </c>
      <c r="C101">
        <v>2001</v>
      </c>
      <c r="D101">
        <v>8</v>
      </c>
      <c r="E101">
        <v>18</v>
      </c>
      <c r="F101">
        <v>15</v>
      </c>
      <c r="G101">
        <v>30</v>
      </c>
      <c r="H101" s="1">
        <f t="shared" si="1"/>
        <v>37121.645833333336</v>
      </c>
      <c r="I101">
        <v>110.44280999999999</v>
      </c>
      <c r="J101">
        <v>-7.538767</v>
      </c>
      <c r="K101">
        <v>0.98099999999999998</v>
      </c>
      <c r="L101">
        <v>1.05</v>
      </c>
      <c r="M101">
        <v>165.16</v>
      </c>
      <c r="N101">
        <v>6.5819999999999999</v>
      </c>
      <c r="O101">
        <v>6.29</v>
      </c>
      <c r="P101">
        <v>26.19</v>
      </c>
      <c r="Q101">
        <v>-98.26</v>
      </c>
      <c r="R101">
        <v>161.63</v>
      </c>
      <c r="S101">
        <v>-71.569999999999993</v>
      </c>
      <c r="T101">
        <v>264</v>
      </c>
      <c r="U101">
        <v>388</v>
      </c>
      <c r="V101">
        <v>-0.71399999999999997</v>
      </c>
      <c r="W101">
        <v>167.45</v>
      </c>
    </row>
    <row r="102" spans="1:23" x14ac:dyDescent="0.35">
      <c r="A102">
        <v>998356500</v>
      </c>
      <c r="B102" t="s">
        <v>23</v>
      </c>
      <c r="C102">
        <v>2001</v>
      </c>
      <c r="D102">
        <v>8</v>
      </c>
      <c r="E102">
        <v>20</v>
      </c>
      <c r="F102">
        <v>15</v>
      </c>
      <c r="G102">
        <v>15</v>
      </c>
      <c r="H102" s="1">
        <f t="shared" si="1"/>
        <v>37123.635416666664</v>
      </c>
      <c r="I102">
        <v>110.441925</v>
      </c>
      <c r="J102">
        <v>-7.5450429999999997</v>
      </c>
      <c r="K102">
        <v>2.395</v>
      </c>
      <c r="L102">
        <v>-10</v>
      </c>
      <c r="M102">
        <v>165.16</v>
      </c>
      <c r="N102">
        <v>7.6580000000000004</v>
      </c>
      <c r="O102">
        <v>7.42</v>
      </c>
      <c r="P102">
        <v>2.2799999999999998</v>
      </c>
      <c r="Q102">
        <v>73.97</v>
      </c>
      <c r="R102">
        <v>159</v>
      </c>
      <c r="S102">
        <v>-75.72</v>
      </c>
      <c r="T102">
        <v>1352</v>
      </c>
      <c r="U102">
        <v>702</v>
      </c>
      <c r="V102">
        <v>-0.51200000000000001</v>
      </c>
      <c r="W102">
        <v>156.18600000000001</v>
      </c>
    </row>
    <row r="103" spans="1:23" x14ac:dyDescent="0.35">
      <c r="A103">
        <v>998356500</v>
      </c>
      <c r="B103" t="s">
        <v>23</v>
      </c>
      <c r="C103">
        <v>2001</v>
      </c>
      <c r="D103">
        <v>8</v>
      </c>
      <c r="E103">
        <v>20</v>
      </c>
      <c r="F103">
        <v>15</v>
      </c>
      <c r="G103">
        <v>15</v>
      </c>
      <c r="H103" s="1">
        <f t="shared" si="1"/>
        <v>37123.635416666664</v>
      </c>
      <c r="I103">
        <v>110.440727</v>
      </c>
      <c r="J103">
        <v>-7.5360670000000001</v>
      </c>
      <c r="K103">
        <v>1.056</v>
      </c>
      <c r="L103">
        <v>0.91500000000000004</v>
      </c>
      <c r="M103">
        <v>165.16</v>
      </c>
      <c r="N103">
        <v>7.4359999999999999</v>
      </c>
      <c r="O103">
        <v>7.1189999999999998</v>
      </c>
      <c r="P103">
        <v>2.2799999999999998</v>
      </c>
      <c r="Q103">
        <v>76.2</v>
      </c>
      <c r="R103">
        <v>159</v>
      </c>
      <c r="S103">
        <v>-75.7</v>
      </c>
      <c r="T103">
        <v>1353</v>
      </c>
      <c r="U103">
        <v>702</v>
      </c>
      <c r="V103">
        <v>-0.77200000000000002</v>
      </c>
      <c r="W103">
        <v>156.143</v>
      </c>
    </row>
    <row r="104" spans="1:23" x14ac:dyDescent="0.35">
      <c r="A104">
        <v>998528700</v>
      </c>
      <c r="B104" t="s">
        <v>23</v>
      </c>
      <c r="C104">
        <v>2001</v>
      </c>
      <c r="D104">
        <v>8</v>
      </c>
      <c r="E104">
        <v>22</v>
      </c>
      <c r="F104">
        <v>15</v>
      </c>
      <c r="G104">
        <v>5</v>
      </c>
      <c r="H104" s="1">
        <f t="shared" si="1"/>
        <v>37125.628472222219</v>
      </c>
      <c r="I104">
        <v>110.429642</v>
      </c>
      <c r="J104">
        <v>-7.5418890000000003</v>
      </c>
      <c r="K104">
        <v>0.748</v>
      </c>
      <c r="L104">
        <v>0.82799999999999996</v>
      </c>
      <c r="M104">
        <v>165.16</v>
      </c>
      <c r="N104">
        <v>7.5830000000000002</v>
      </c>
      <c r="O104">
        <v>7.1879999999999997</v>
      </c>
      <c r="P104">
        <v>29.99</v>
      </c>
      <c r="Q104">
        <v>82.51</v>
      </c>
      <c r="R104">
        <v>156.25</v>
      </c>
      <c r="S104">
        <v>-78.349999999999994</v>
      </c>
      <c r="T104">
        <v>407</v>
      </c>
      <c r="U104">
        <v>1007</v>
      </c>
      <c r="V104">
        <v>-0.79300000000000004</v>
      </c>
      <c r="W104">
        <v>126.78700000000001</v>
      </c>
    </row>
    <row r="105" spans="1:23" x14ac:dyDescent="0.35">
      <c r="A105">
        <v>998528700</v>
      </c>
      <c r="B105" t="s">
        <v>23</v>
      </c>
      <c r="C105">
        <v>2001</v>
      </c>
      <c r="D105">
        <v>8</v>
      </c>
      <c r="E105">
        <v>22</v>
      </c>
      <c r="F105">
        <v>15</v>
      </c>
      <c r="G105">
        <v>5</v>
      </c>
      <c r="H105" s="1">
        <f t="shared" si="1"/>
        <v>37125.628472222219</v>
      </c>
      <c r="I105">
        <v>110.442207</v>
      </c>
      <c r="J105">
        <v>-7.5402209999999998</v>
      </c>
      <c r="K105">
        <v>0.92700000000000005</v>
      </c>
      <c r="L105">
        <v>0.86699999999999999</v>
      </c>
      <c r="M105">
        <v>165.16</v>
      </c>
      <c r="N105">
        <v>7.39</v>
      </c>
      <c r="O105">
        <v>7.0759999999999996</v>
      </c>
      <c r="P105">
        <v>29.77</v>
      </c>
      <c r="Q105">
        <v>82.51</v>
      </c>
      <c r="R105">
        <v>156.25</v>
      </c>
      <c r="S105">
        <v>-78.34</v>
      </c>
      <c r="T105">
        <v>407</v>
      </c>
      <c r="U105">
        <v>1006</v>
      </c>
      <c r="V105">
        <v>-0.78200000000000003</v>
      </c>
      <c r="W105">
        <v>127.01900000000001</v>
      </c>
    </row>
    <row r="106" spans="1:23" x14ac:dyDescent="0.35">
      <c r="A106">
        <v>998573400</v>
      </c>
      <c r="B106" t="s">
        <v>23</v>
      </c>
      <c r="C106">
        <v>2001</v>
      </c>
      <c r="D106">
        <v>8</v>
      </c>
      <c r="E106">
        <v>23</v>
      </c>
      <c r="F106">
        <v>3</v>
      </c>
      <c r="G106">
        <v>30</v>
      </c>
      <c r="H106" s="1">
        <f t="shared" si="1"/>
        <v>37126.145833333336</v>
      </c>
      <c r="I106">
        <v>110.456367</v>
      </c>
      <c r="J106">
        <v>-7.5489829999999998</v>
      </c>
      <c r="K106">
        <v>3.11</v>
      </c>
      <c r="L106">
        <v>-10</v>
      </c>
      <c r="M106">
        <v>7.9359999999999999</v>
      </c>
      <c r="N106">
        <v>8.8460000000000001</v>
      </c>
      <c r="O106">
        <v>8.1780000000000008</v>
      </c>
      <c r="P106">
        <v>42.97</v>
      </c>
      <c r="Q106">
        <v>-82.74</v>
      </c>
      <c r="R106">
        <v>25.67</v>
      </c>
      <c r="S106">
        <v>43.04</v>
      </c>
      <c r="T106">
        <v>562</v>
      </c>
      <c r="U106">
        <v>1145</v>
      </c>
      <c r="V106">
        <v>-0.49399999999999999</v>
      </c>
      <c r="W106">
        <v>33.668999999999997</v>
      </c>
    </row>
    <row r="107" spans="1:23" x14ac:dyDescent="0.35">
      <c r="A107">
        <v>998573400</v>
      </c>
      <c r="B107" t="s">
        <v>23</v>
      </c>
      <c r="C107">
        <v>2001</v>
      </c>
      <c r="D107">
        <v>8</v>
      </c>
      <c r="E107">
        <v>23</v>
      </c>
      <c r="F107">
        <v>3</v>
      </c>
      <c r="G107">
        <v>30</v>
      </c>
      <c r="H107" s="1">
        <f t="shared" si="1"/>
        <v>37126.145833333336</v>
      </c>
      <c r="I107">
        <v>110.44403800000001</v>
      </c>
      <c r="J107">
        <v>-7.539587</v>
      </c>
      <c r="K107">
        <v>4.0389999999999997</v>
      </c>
      <c r="L107">
        <v>-10</v>
      </c>
      <c r="M107">
        <v>9.9819999999999993</v>
      </c>
      <c r="N107">
        <v>9.4710000000000001</v>
      </c>
      <c r="O107">
        <v>8.8629999999999995</v>
      </c>
      <c r="P107">
        <v>42.97</v>
      </c>
      <c r="Q107">
        <v>-81.819999999999993</v>
      </c>
      <c r="R107">
        <v>25.67</v>
      </c>
      <c r="S107">
        <v>43.07</v>
      </c>
      <c r="T107">
        <v>559</v>
      </c>
      <c r="U107">
        <v>1144</v>
      </c>
      <c r="V107">
        <v>-0.42099999999999999</v>
      </c>
      <c r="W107">
        <v>34.054000000000002</v>
      </c>
    </row>
    <row r="108" spans="1:23" x14ac:dyDescent="0.35">
      <c r="A108">
        <v>998745300</v>
      </c>
      <c r="B108" t="s">
        <v>23</v>
      </c>
      <c r="C108">
        <v>2001</v>
      </c>
      <c r="D108">
        <v>8</v>
      </c>
      <c r="E108">
        <v>25</v>
      </c>
      <c r="F108">
        <v>3</v>
      </c>
      <c r="G108">
        <v>15</v>
      </c>
      <c r="H108" s="1">
        <f t="shared" si="1"/>
        <v>37128.135416666664</v>
      </c>
      <c r="I108">
        <v>110.449837</v>
      </c>
      <c r="J108">
        <v>-7.5435860000000003</v>
      </c>
      <c r="K108">
        <v>3.0059999999999998</v>
      </c>
      <c r="L108">
        <v>-10</v>
      </c>
      <c r="M108">
        <v>10.499000000000001</v>
      </c>
      <c r="N108">
        <v>9.5869999999999997</v>
      </c>
      <c r="O108">
        <v>8.8800000000000008</v>
      </c>
      <c r="P108">
        <v>20.37</v>
      </c>
      <c r="Q108">
        <v>-82.39</v>
      </c>
      <c r="R108">
        <v>27.27</v>
      </c>
      <c r="S108">
        <v>49.5</v>
      </c>
      <c r="T108">
        <v>1653</v>
      </c>
      <c r="U108">
        <v>903</v>
      </c>
      <c r="V108">
        <v>-0.55300000000000005</v>
      </c>
      <c r="W108">
        <v>20.495999999999999</v>
      </c>
    </row>
    <row r="109" spans="1:23" x14ac:dyDescent="0.35">
      <c r="A109">
        <v>998789700</v>
      </c>
      <c r="B109" t="s">
        <v>23</v>
      </c>
      <c r="C109">
        <v>2001</v>
      </c>
      <c r="D109">
        <v>8</v>
      </c>
      <c r="E109">
        <v>25</v>
      </c>
      <c r="F109">
        <v>15</v>
      </c>
      <c r="G109">
        <v>35</v>
      </c>
      <c r="H109" s="1">
        <f t="shared" si="1"/>
        <v>37128.649305555555</v>
      </c>
      <c r="I109">
        <v>110.451736</v>
      </c>
      <c r="J109">
        <v>-7.5435059999999998</v>
      </c>
      <c r="K109">
        <v>1.113</v>
      </c>
      <c r="L109">
        <v>1.125</v>
      </c>
      <c r="M109">
        <v>165.16</v>
      </c>
      <c r="N109">
        <v>7.6230000000000002</v>
      </c>
      <c r="O109">
        <v>7.2779999999999996</v>
      </c>
      <c r="P109">
        <v>37.380000000000003</v>
      </c>
      <c r="Q109">
        <v>-98.43</v>
      </c>
      <c r="R109">
        <v>163.98</v>
      </c>
      <c r="S109">
        <v>-78.08</v>
      </c>
      <c r="T109">
        <v>603</v>
      </c>
      <c r="U109">
        <v>267</v>
      </c>
      <c r="V109">
        <v>-0.73199999999999998</v>
      </c>
      <c r="W109">
        <v>157.351</v>
      </c>
    </row>
    <row r="110" spans="1:23" x14ac:dyDescent="0.35">
      <c r="A110">
        <v>999133800</v>
      </c>
      <c r="B110" t="s">
        <v>23</v>
      </c>
      <c r="C110">
        <v>2001</v>
      </c>
      <c r="D110">
        <v>8</v>
      </c>
      <c r="E110">
        <v>29</v>
      </c>
      <c r="F110">
        <v>15</v>
      </c>
      <c r="G110">
        <v>10</v>
      </c>
      <c r="H110" s="1">
        <f t="shared" si="1"/>
        <v>37132.631944444445</v>
      </c>
      <c r="I110">
        <v>110.441772</v>
      </c>
      <c r="J110">
        <v>-7.5456200000000004</v>
      </c>
      <c r="K110">
        <v>1.1859999999999999</v>
      </c>
      <c r="L110">
        <v>1.2010000000000001</v>
      </c>
      <c r="M110">
        <v>165.16</v>
      </c>
      <c r="N110">
        <v>7.28</v>
      </c>
      <c r="O110">
        <v>6.9710000000000001</v>
      </c>
      <c r="P110">
        <v>17.12</v>
      </c>
      <c r="Q110">
        <v>81.59</v>
      </c>
      <c r="R110">
        <v>158.37</v>
      </c>
      <c r="S110">
        <v>-84.16</v>
      </c>
      <c r="T110">
        <v>744</v>
      </c>
      <c r="U110">
        <v>867</v>
      </c>
      <c r="V110">
        <v>-0.70599999999999996</v>
      </c>
      <c r="W110">
        <v>141.101</v>
      </c>
    </row>
    <row r="111" spans="1:23" x14ac:dyDescent="0.35">
      <c r="A111">
        <v>999133800</v>
      </c>
      <c r="B111" t="s">
        <v>23</v>
      </c>
      <c r="C111">
        <v>2001</v>
      </c>
      <c r="D111">
        <v>8</v>
      </c>
      <c r="E111">
        <v>29</v>
      </c>
      <c r="F111">
        <v>15</v>
      </c>
      <c r="G111">
        <v>10</v>
      </c>
      <c r="H111" s="1">
        <f t="shared" si="1"/>
        <v>37132.631944444445</v>
      </c>
      <c r="I111">
        <v>110.441231</v>
      </c>
      <c r="J111">
        <v>-7.5361859999999998</v>
      </c>
      <c r="K111">
        <v>0.81699999999999995</v>
      </c>
      <c r="L111">
        <v>0.76400000000000001</v>
      </c>
      <c r="M111">
        <v>165.16</v>
      </c>
      <c r="N111">
        <v>7.101</v>
      </c>
      <c r="O111">
        <v>6.7789999999999999</v>
      </c>
      <c r="P111">
        <v>17.12</v>
      </c>
      <c r="Q111">
        <v>81.88</v>
      </c>
      <c r="R111">
        <v>158.37</v>
      </c>
      <c r="S111">
        <v>-84.14</v>
      </c>
      <c r="T111">
        <v>745</v>
      </c>
      <c r="U111">
        <v>867</v>
      </c>
      <c r="V111">
        <v>-0.79700000000000004</v>
      </c>
      <c r="W111">
        <v>141.08799999999999</v>
      </c>
    </row>
    <row r="112" spans="1:23" x14ac:dyDescent="0.35">
      <c r="A112">
        <v>999222600</v>
      </c>
      <c r="B112" t="s">
        <v>23</v>
      </c>
      <c r="C112">
        <v>2001</v>
      </c>
      <c r="D112">
        <v>8</v>
      </c>
      <c r="E112">
        <v>30</v>
      </c>
      <c r="F112">
        <v>15</v>
      </c>
      <c r="G112">
        <v>50</v>
      </c>
      <c r="H112" s="1">
        <f t="shared" si="1"/>
        <v>37133.659722222219</v>
      </c>
      <c r="I112">
        <v>110.44396999999999</v>
      </c>
      <c r="J112">
        <v>-7.5400489999999998</v>
      </c>
      <c r="K112">
        <v>1.05</v>
      </c>
      <c r="L112">
        <v>1.1319999999999999</v>
      </c>
      <c r="M112">
        <v>165.16</v>
      </c>
      <c r="N112">
        <v>7.0309999999999997</v>
      </c>
      <c r="O112">
        <v>6.6159999999999997</v>
      </c>
      <c r="P112">
        <v>59.53</v>
      </c>
      <c r="Q112">
        <v>-99.35</v>
      </c>
      <c r="R112">
        <v>169.02</v>
      </c>
      <c r="S112">
        <v>-83.11</v>
      </c>
      <c r="T112">
        <v>1874</v>
      </c>
      <c r="U112">
        <v>47</v>
      </c>
      <c r="V112">
        <v>-0.70799999999999996</v>
      </c>
      <c r="W112">
        <v>132.035</v>
      </c>
    </row>
    <row r="113" spans="1:23" x14ac:dyDescent="0.35">
      <c r="A113">
        <v>999350400</v>
      </c>
      <c r="B113" t="s">
        <v>23</v>
      </c>
      <c r="C113">
        <v>2001</v>
      </c>
      <c r="D113">
        <v>9</v>
      </c>
      <c r="E113">
        <v>1</v>
      </c>
      <c r="F113">
        <v>3</v>
      </c>
      <c r="G113">
        <v>20</v>
      </c>
      <c r="H113" s="1">
        <f t="shared" si="1"/>
        <v>37135.138888888891</v>
      </c>
      <c r="I113">
        <v>110.45199599999999</v>
      </c>
      <c r="J113">
        <v>-7.5383009999999997</v>
      </c>
      <c r="K113">
        <v>2.8639999999999999</v>
      </c>
      <c r="L113">
        <v>-10</v>
      </c>
      <c r="M113">
        <v>16.423999999999999</v>
      </c>
      <c r="N113">
        <v>8.8279999999999994</v>
      </c>
      <c r="O113">
        <v>8.1720000000000006</v>
      </c>
      <c r="P113">
        <v>32.450000000000003</v>
      </c>
      <c r="Q113">
        <v>-81.650000000000006</v>
      </c>
      <c r="R113">
        <v>24.18</v>
      </c>
      <c r="S113">
        <v>51.33</v>
      </c>
      <c r="T113">
        <v>1968</v>
      </c>
      <c r="U113">
        <v>1035</v>
      </c>
      <c r="V113">
        <v>-0.58099999999999996</v>
      </c>
      <c r="W113">
        <v>23.172000000000001</v>
      </c>
    </row>
    <row r="114" spans="1:23" x14ac:dyDescent="0.35">
      <c r="A114">
        <v>999394800</v>
      </c>
      <c r="B114" t="s">
        <v>23</v>
      </c>
      <c r="C114">
        <v>2001</v>
      </c>
      <c r="D114">
        <v>9</v>
      </c>
      <c r="E114">
        <v>1</v>
      </c>
      <c r="F114">
        <v>15</v>
      </c>
      <c r="G114">
        <v>40</v>
      </c>
      <c r="H114" s="1">
        <f t="shared" si="1"/>
        <v>37135.652777777781</v>
      </c>
      <c r="I114">
        <v>110.45401</v>
      </c>
      <c r="J114">
        <v>-7.5366059999999999</v>
      </c>
      <c r="K114">
        <v>1.0720000000000001</v>
      </c>
      <c r="L114">
        <v>1.1100000000000001</v>
      </c>
      <c r="M114">
        <v>165.16</v>
      </c>
      <c r="N114">
        <v>7.6340000000000003</v>
      </c>
      <c r="O114">
        <v>7.2629999999999999</v>
      </c>
      <c r="P114">
        <v>46.55</v>
      </c>
      <c r="Q114">
        <v>-99.01</v>
      </c>
      <c r="R114">
        <v>166.16</v>
      </c>
      <c r="S114">
        <v>-86.79</v>
      </c>
      <c r="T114">
        <v>925</v>
      </c>
      <c r="U114">
        <v>174</v>
      </c>
      <c r="V114">
        <v>-0.73499999999999999</v>
      </c>
      <c r="W114">
        <v>147.405</v>
      </c>
    </row>
    <row r="115" spans="1:23" x14ac:dyDescent="0.35">
      <c r="A115">
        <v>999522600</v>
      </c>
      <c r="B115" t="s">
        <v>23</v>
      </c>
      <c r="C115">
        <v>2001</v>
      </c>
      <c r="D115">
        <v>9</v>
      </c>
      <c r="E115">
        <v>3</v>
      </c>
      <c r="F115">
        <v>3</v>
      </c>
      <c r="G115">
        <v>10</v>
      </c>
      <c r="H115" s="1">
        <f t="shared" si="1"/>
        <v>37137.131944444445</v>
      </c>
      <c r="I115">
        <v>110.44753300000001</v>
      </c>
      <c r="J115">
        <v>-7.5419970000000003</v>
      </c>
      <c r="K115">
        <v>3.0939999999999999</v>
      </c>
      <c r="L115">
        <v>-10</v>
      </c>
      <c r="M115">
        <v>19.468</v>
      </c>
      <c r="N115">
        <v>8.0470000000000006</v>
      </c>
      <c r="O115">
        <v>7.37</v>
      </c>
      <c r="P115">
        <v>5.65</v>
      </c>
      <c r="Q115">
        <v>-84</v>
      </c>
      <c r="R115">
        <v>26.01</v>
      </c>
      <c r="S115">
        <v>55.83</v>
      </c>
      <c r="T115">
        <v>1022</v>
      </c>
      <c r="U115">
        <v>740</v>
      </c>
      <c r="V115">
        <v>-0.53</v>
      </c>
      <c r="W115">
        <v>22.512</v>
      </c>
    </row>
    <row r="116" spans="1:23" x14ac:dyDescent="0.35">
      <c r="A116">
        <v>999566700</v>
      </c>
      <c r="B116" t="s">
        <v>23</v>
      </c>
      <c r="C116">
        <v>2001</v>
      </c>
      <c r="D116">
        <v>9</v>
      </c>
      <c r="E116">
        <v>3</v>
      </c>
      <c r="F116">
        <v>15</v>
      </c>
      <c r="G116">
        <v>25</v>
      </c>
      <c r="H116" s="1">
        <f t="shared" si="1"/>
        <v>37137.642361111109</v>
      </c>
      <c r="I116">
        <v>110.44808999999999</v>
      </c>
      <c r="J116">
        <v>-7.543069</v>
      </c>
      <c r="K116">
        <v>0.97099999999999997</v>
      </c>
      <c r="L116">
        <v>1.0149999999999999</v>
      </c>
      <c r="M116">
        <v>165.16</v>
      </c>
      <c r="N116">
        <v>6.492</v>
      </c>
      <c r="O116">
        <v>6.1820000000000004</v>
      </c>
      <c r="P116">
        <v>25.74</v>
      </c>
      <c r="Q116">
        <v>-97.63</v>
      </c>
      <c r="R116">
        <v>163.29</v>
      </c>
      <c r="S116">
        <v>-89.37</v>
      </c>
      <c r="T116">
        <v>2011</v>
      </c>
      <c r="U116">
        <v>393</v>
      </c>
      <c r="V116">
        <v>-0.71799999999999997</v>
      </c>
      <c r="W116">
        <v>171.65299999999999</v>
      </c>
    </row>
    <row r="117" spans="1:23" x14ac:dyDescent="0.35">
      <c r="A117">
        <v>999738900</v>
      </c>
      <c r="B117" t="s">
        <v>23</v>
      </c>
      <c r="C117">
        <v>2001</v>
      </c>
      <c r="D117">
        <v>9</v>
      </c>
      <c r="E117">
        <v>5</v>
      </c>
      <c r="F117">
        <v>15</v>
      </c>
      <c r="G117">
        <v>15</v>
      </c>
      <c r="H117" s="1">
        <f t="shared" si="1"/>
        <v>37139.635416666664</v>
      </c>
      <c r="I117">
        <v>110.431252</v>
      </c>
      <c r="J117">
        <v>-7.5466290000000003</v>
      </c>
      <c r="K117">
        <v>0.89900000000000002</v>
      </c>
      <c r="L117">
        <v>0.93600000000000005</v>
      </c>
      <c r="M117">
        <v>165.16</v>
      </c>
      <c r="N117">
        <v>7.67</v>
      </c>
      <c r="O117">
        <v>7.3319999999999999</v>
      </c>
      <c r="P117">
        <v>3.09</v>
      </c>
      <c r="Q117">
        <v>74.37</v>
      </c>
      <c r="R117">
        <v>160.31</v>
      </c>
      <c r="S117">
        <v>-91.27</v>
      </c>
      <c r="T117">
        <v>1051</v>
      </c>
      <c r="U117">
        <v>711</v>
      </c>
      <c r="V117">
        <v>-0.77400000000000002</v>
      </c>
      <c r="W117">
        <v>156.666</v>
      </c>
    </row>
    <row r="118" spans="1:23" x14ac:dyDescent="0.35">
      <c r="A118">
        <v>999738900</v>
      </c>
      <c r="B118" t="s">
        <v>23</v>
      </c>
      <c r="C118">
        <v>2001</v>
      </c>
      <c r="D118">
        <v>9</v>
      </c>
      <c r="E118">
        <v>5</v>
      </c>
      <c r="F118">
        <v>15</v>
      </c>
      <c r="G118">
        <v>15</v>
      </c>
      <c r="H118" s="1">
        <f t="shared" si="1"/>
        <v>37139.635416666664</v>
      </c>
      <c r="I118">
        <v>110.44027699999999</v>
      </c>
      <c r="J118">
        <v>-7.5453510000000001</v>
      </c>
      <c r="K118">
        <v>2.7730000000000001</v>
      </c>
      <c r="L118">
        <v>-10</v>
      </c>
      <c r="M118">
        <v>165.16</v>
      </c>
      <c r="N118">
        <v>7.67</v>
      </c>
      <c r="O118">
        <v>7.4249999999999998</v>
      </c>
      <c r="P118">
        <v>3.04</v>
      </c>
      <c r="Q118">
        <v>74.14</v>
      </c>
      <c r="R118">
        <v>160.31</v>
      </c>
      <c r="S118">
        <v>-91.27</v>
      </c>
      <c r="T118">
        <v>1051</v>
      </c>
      <c r="U118">
        <v>710</v>
      </c>
      <c r="V118">
        <v>-0.45600000000000002</v>
      </c>
      <c r="W118">
        <v>156.733</v>
      </c>
    </row>
    <row r="119" spans="1:23" x14ac:dyDescent="0.35">
      <c r="A119">
        <v>999738900</v>
      </c>
      <c r="B119" t="s">
        <v>23</v>
      </c>
      <c r="C119">
        <v>2001</v>
      </c>
      <c r="D119">
        <v>9</v>
      </c>
      <c r="E119">
        <v>5</v>
      </c>
      <c r="F119">
        <v>15</v>
      </c>
      <c r="G119">
        <v>15</v>
      </c>
      <c r="H119" s="1">
        <f t="shared" si="1"/>
        <v>37139.635416666664</v>
      </c>
      <c r="I119">
        <v>110.43913999999999</v>
      </c>
      <c r="J119">
        <v>-7.5363550000000004</v>
      </c>
      <c r="K119">
        <v>1.085</v>
      </c>
      <c r="L119">
        <v>1.034</v>
      </c>
      <c r="M119">
        <v>165.16</v>
      </c>
      <c r="N119">
        <v>7.3940000000000001</v>
      </c>
      <c r="O119">
        <v>7.0709999999999997</v>
      </c>
      <c r="P119">
        <v>2.97</v>
      </c>
      <c r="Q119">
        <v>75.86</v>
      </c>
      <c r="R119">
        <v>160.31</v>
      </c>
      <c r="S119">
        <v>-91.25</v>
      </c>
      <c r="T119">
        <v>1052</v>
      </c>
      <c r="U119">
        <v>710</v>
      </c>
      <c r="V119">
        <v>-0.745</v>
      </c>
      <c r="W119">
        <v>156.78200000000001</v>
      </c>
    </row>
    <row r="120" spans="1:23" x14ac:dyDescent="0.35">
      <c r="A120">
        <v>1000127700</v>
      </c>
      <c r="B120" t="s">
        <v>23</v>
      </c>
      <c r="C120">
        <v>2001</v>
      </c>
      <c r="D120">
        <v>9</v>
      </c>
      <c r="E120">
        <v>10</v>
      </c>
      <c r="F120">
        <v>3</v>
      </c>
      <c r="G120">
        <v>15</v>
      </c>
      <c r="H120" s="1">
        <f t="shared" si="1"/>
        <v>37144.135416666664</v>
      </c>
      <c r="I120">
        <v>110.449219</v>
      </c>
      <c r="J120">
        <v>-7.5437310000000002</v>
      </c>
      <c r="K120">
        <v>2.76</v>
      </c>
      <c r="L120">
        <v>-10</v>
      </c>
      <c r="M120">
        <v>12.858000000000001</v>
      </c>
      <c r="N120">
        <v>9.2560000000000002</v>
      </c>
      <c r="O120">
        <v>8.82</v>
      </c>
      <c r="P120">
        <v>19.579999999999998</v>
      </c>
      <c r="Q120">
        <v>-81.88</v>
      </c>
      <c r="R120">
        <v>22.92</v>
      </c>
      <c r="S120">
        <v>58.64</v>
      </c>
      <c r="T120">
        <v>1305</v>
      </c>
      <c r="U120">
        <v>893</v>
      </c>
      <c r="V120">
        <v>-0.59899999999999998</v>
      </c>
      <c r="W120">
        <v>14.773999999999999</v>
      </c>
    </row>
    <row r="121" spans="1:23" x14ac:dyDescent="0.35">
      <c r="A121">
        <v>1000172100</v>
      </c>
      <c r="B121" t="s">
        <v>23</v>
      </c>
      <c r="C121">
        <v>2001</v>
      </c>
      <c r="D121">
        <v>9</v>
      </c>
      <c r="E121">
        <v>10</v>
      </c>
      <c r="F121">
        <v>15</v>
      </c>
      <c r="G121">
        <v>35</v>
      </c>
      <c r="H121" s="1">
        <f t="shared" si="1"/>
        <v>37144.649305555555</v>
      </c>
      <c r="I121">
        <v>110.44304700000001</v>
      </c>
      <c r="J121">
        <v>-7.5402360000000002</v>
      </c>
      <c r="K121">
        <v>1.2549999999999999</v>
      </c>
      <c r="L121">
        <v>1.397</v>
      </c>
      <c r="M121">
        <v>165.16</v>
      </c>
      <c r="N121">
        <v>7.7910000000000004</v>
      </c>
      <c r="O121">
        <v>7.423</v>
      </c>
      <c r="P121">
        <v>36.71</v>
      </c>
      <c r="Q121">
        <v>-99.35</v>
      </c>
      <c r="R121">
        <v>164.95</v>
      </c>
      <c r="S121">
        <v>-99.72</v>
      </c>
      <c r="T121">
        <v>259</v>
      </c>
      <c r="U121">
        <v>275</v>
      </c>
      <c r="V121">
        <v>-0.68300000000000005</v>
      </c>
      <c r="W121">
        <v>158.48599999999999</v>
      </c>
    </row>
    <row r="122" spans="1:23" x14ac:dyDescent="0.35">
      <c r="A122">
        <v>1000172100</v>
      </c>
      <c r="B122" t="s">
        <v>23</v>
      </c>
      <c r="C122">
        <v>2001</v>
      </c>
      <c r="D122">
        <v>9</v>
      </c>
      <c r="E122">
        <v>10</v>
      </c>
      <c r="F122">
        <v>15</v>
      </c>
      <c r="G122">
        <v>35</v>
      </c>
      <c r="H122" s="1">
        <f t="shared" si="1"/>
        <v>37144.649305555555</v>
      </c>
      <c r="I122">
        <v>110.451904</v>
      </c>
      <c r="J122">
        <v>-7.5358599999999996</v>
      </c>
      <c r="K122">
        <v>1.1379999999999999</v>
      </c>
      <c r="L122">
        <v>1.1499999999999999</v>
      </c>
      <c r="M122">
        <v>165.16</v>
      </c>
      <c r="N122">
        <v>7.5460000000000003</v>
      </c>
      <c r="O122">
        <v>7.218</v>
      </c>
      <c r="P122">
        <v>36.71</v>
      </c>
      <c r="Q122">
        <v>-98.15</v>
      </c>
      <c r="R122">
        <v>164.95</v>
      </c>
      <c r="S122">
        <v>-99.71</v>
      </c>
      <c r="T122">
        <v>261</v>
      </c>
      <c r="U122">
        <v>274</v>
      </c>
      <c r="V122">
        <v>-0.72499999999999998</v>
      </c>
      <c r="W122">
        <v>158.46799999999999</v>
      </c>
    </row>
    <row r="123" spans="1:23" x14ac:dyDescent="0.35">
      <c r="A123">
        <v>1000777200</v>
      </c>
      <c r="B123" t="s">
        <v>23</v>
      </c>
      <c r="C123">
        <v>2001</v>
      </c>
      <c r="D123">
        <v>9</v>
      </c>
      <c r="E123">
        <v>17</v>
      </c>
      <c r="F123">
        <v>15</v>
      </c>
      <c r="G123">
        <v>40</v>
      </c>
      <c r="H123" s="1">
        <f t="shared" si="1"/>
        <v>37151.652777777781</v>
      </c>
      <c r="I123">
        <v>110.44124600000001</v>
      </c>
      <c r="J123">
        <v>-7.54704</v>
      </c>
      <c r="K123">
        <v>1.3149999999999999</v>
      </c>
      <c r="L123">
        <v>1.46</v>
      </c>
      <c r="M123">
        <v>165.16</v>
      </c>
      <c r="N123">
        <v>7.6820000000000004</v>
      </c>
      <c r="O123">
        <v>7.319</v>
      </c>
      <c r="P123">
        <v>46.11</v>
      </c>
      <c r="Q123">
        <v>-98.61</v>
      </c>
      <c r="R123">
        <v>166.16</v>
      </c>
      <c r="S123">
        <v>-112.05</v>
      </c>
      <c r="T123">
        <v>602</v>
      </c>
      <c r="U123">
        <v>179</v>
      </c>
      <c r="V123">
        <v>-0.66700000000000004</v>
      </c>
      <c r="W123">
        <v>147.577</v>
      </c>
    </row>
    <row r="124" spans="1:23" x14ac:dyDescent="0.35">
      <c r="A124">
        <v>1000905000</v>
      </c>
      <c r="B124" t="s">
        <v>23</v>
      </c>
      <c r="C124">
        <v>2001</v>
      </c>
      <c r="D124">
        <v>9</v>
      </c>
      <c r="E124">
        <v>19</v>
      </c>
      <c r="F124">
        <v>3</v>
      </c>
      <c r="G124">
        <v>10</v>
      </c>
      <c r="H124" s="1">
        <f t="shared" si="1"/>
        <v>37153.131944444445</v>
      </c>
      <c r="I124">
        <v>110.44405399999999</v>
      </c>
      <c r="J124">
        <v>-7.5390879999999996</v>
      </c>
      <c r="K124">
        <v>4.4329999999999998</v>
      </c>
      <c r="L124">
        <v>-10</v>
      </c>
      <c r="M124">
        <v>9.8309999999999995</v>
      </c>
      <c r="N124">
        <v>8.593</v>
      </c>
      <c r="O124">
        <v>8.1280000000000001</v>
      </c>
      <c r="P124">
        <v>4.9800000000000004</v>
      </c>
      <c r="Q124">
        <v>-83.25</v>
      </c>
      <c r="R124">
        <v>21.94</v>
      </c>
      <c r="S124">
        <v>67.02</v>
      </c>
      <c r="T124">
        <v>723</v>
      </c>
      <c r="U124">
        <v>732</v>
      </c>
      <c r="V124">
        <v>-0.33900000000000002</v>
      </c>
      <c r="W124">
        <v>18.209</v>
      </c>
    </row>
    <row r="125" spans="1:23" x14ac:dyDescent="0.35">
      <c r="A125">
        <v>1000949100</v>
      </c>
      <c r="B125" t="s">
        <v>23</v>
      </c>
      <c r="C125">
        <v>2001</v>
      </c>
      <c r="D125">
        <v>9</v>
      </c>
      <c r="E125">
        <v>19</v>
      </c>
      <c r="F125">
        <v>15</v>
      </c>
      <c r="G125">
        <v>25</v>
      </c>
      <c r="H125" s="1">
        <f t="shared" si="1"/>
        <v>37153.642361111109</v>
      </c>
      <c r="I125">
        <v>110.439667</v>
      </c>
      <c r="J125">
        <v>-7.53756</v>
      </c>
      <c r="K125">
        <v>1.2709999999999999</v>
      </c>
      <c r="L125">
        <v>1.446</v>
      </c>
      <c r="M125">
        <v>165.16</v>
      </c>
      <c r="N125">
        <v>7.3869999999999996</v>
      </c>
      <c r="O125">
        <v>7.0119999999999996</v>
      </c>
      <c r="P125">
        <v>25.18</v>
      </c>
      <c r="Q125">
        <v>-97.63</v>
      </c>
      <c r="R125">
        <v>163.18</v>
      </c>
      <c r="S125">
        <v>-109.74</v>
      </c>
      <c r="T125">
        <v>1721</v>
      </c>
      <c r="U125">
        <v>399</v>
      </c>
      <c r="V125">
        <v>-0.65800000000000003</v>
      </c>
      <c r="W125">
        <v>171.429</v>
      </c>
    </row>
    <row r="126" spans="1:23" x14ac:dyDescent="0.35">
      <c r="A126">
        <v>1000949100</v>
      </c>
      <c r="B126" t="s">
        <v>23</v>
      </c>
      <c r="C126">
        <v>2001</v>
      </c>
      <c r="D126">
        <v>9</v>
      </c>
      <c r="E126">
        <v>19</v>
      </c>
      <c r="F126">
        <v>15</v>
      </c>
      <c r="G126">
        <v>25</v>
      </c>
      <c r="H126" s="1">
        <f t="shared" si="1"/>
        <v>37153.642361111109</v>
      </c>
      <c r="I126">
        <v>110.452911</v>
      </c>
      <c r="J126">
        <v>-7.5356569999999996</v>
      </c>
      <c r="K126">
        <v>0.77600000000000002</v>
      </c>
      <c r="L126">
        <v>0.78300000000000003</v>
      </c>
      <c r="M126">
        <v>165.16</v>
      </c>
      <c r="N126">
        <v>7.1</v>
      </c>
      <c r="O126">
        <v>6.7850000000000001</v>
      </c>
      <c r="P126">
        <v>25.29</v>
      </c>
      <c r="Q126">
        <v>-97.63</v>
      </c>
      <c r="R126">
        <v>163.18</v>
      </c>
      <c r="S126">
        <v>-109.75</v>
      </c>
      <c r="T126">
        <v>1721</v>
      </c>
      <c r="U126">
        <v>398</v>
      </c>
      <c r="V126">
        <v>-0.79300000000000004</v>
      </c>
      <c r="W126">
        <v>171.315</v>
      </c>
    </row>
    <row r="127" spans="1:23" x14ac:dyDescent="0.35">
      <c r="A127">
        <v>1001121300</v>
      </c>
      <c r="B127" t="s">
        <v>23</v>
      </c>
      <c r="C127">
        <v>2001</v>
      </c>
      <c r="D127">
        <v>9</v>
      </c>
      <c r="E127">
        <v>21</v>
      </c>
      <c r="F127">
        <v>15</v>
      </c>
      <c r="G127">
        <v>15</v>
      </c>
      <c r="H127" s="1">
        <f t="shared" si="1"/>
        <v>37155.635416666664</v>
      </c>
      <c r="I127">
        <v>110.437378</v>
      </c>
      <c r="J127">
        <v>-7.5425599999999999</v>
      </c>
      <c r="K127">
        <v>1.718</v>
      </c>
      <c r="L127">
        <v>1.9179999999999999</v>
      </c>
      <c r="M127">
        <v>165.16</v>
      </c>
      <c r="N127">
        <v>7.5330000000000004</v>
      </c>
      <c r="O127">
        <v>7.1470000000000002</v>
      </c>
      <c r="P127">
        <v>3.43</v>
      </c>
      <c r="Q127">
        <v>76.599999999999994</v>
      </c>
      <c r="R127">
        <v>160.19999999999999</v>
      </c>
      <c r="S127">
        <v>-109.43</v>
      </c>
      <c r="T127">
        <v>792</v>
      </c>
      <c r="U127">
        <v>715</v>
      </c>
      <c r="V127">
        <v>-0.57699999999999996</v>
      </c>
      <c r="W127">
        <v>156.33600000000001</v>
      </c>
    </row>
    <row r="128" spans="1:23" x14ac:dyDescent="0.35">
      <c r="A128">
        <v>1001121300</v>
      </c>
      <c r="B128" t="s">
        <v>23</v>
      </c>
      <c r="C128">
        <v>2001</v>
      </c>
      <c r="D128">
        <v>9</v>
      </c>
      <c r="E128">
        <v>21</v>
      </c>
      <c r="F128">
        <v>15</v>
      </c>
      <c r="G128">
        <v>15</v>
      </c>
      <c r="H128" s="1">
        <f t="shared" si="1"/>
        <v>37155.635416666664</v>
      </c>
      <c r="I128">
        <v>110.446274</v>
      </c>
      <c r="J128">
        <v>-7.5413180000000004</v>
      </c>
      <c r="K128">
        <v>1.7649999999999999</v>
      </c>
      <c r="L128">
        <v>1.6659999999999999</v>
      </c>
      <c r="M128">
        <v>165.16</v>
      </c>
      <c r="N128">
        <v>7.4729999999999999</v>
      </c>
      <c r="O128">
        <v>7.1609999999999996</v>
      </c>
      <c r="P128">
        <v>3.37</v>
      </c>
      <c r="Q128">
        <v>76.489999999999995</v>
      </c>
      <c r="R128">
        <v>160.19999999999999</v>
      </c>
      <c r="S128">
        <v>-109.43</v>
      </c>
      <c r="T128">
        <v>792</v>
      </c>
      <c r="U128">
        <v>714</v>
      </c>
      <c r="V128">
        <v>-0.623</v>
      </c>
      <c r="W128">
        <v>156.4</v>
      </c>
    </row>
    <row r="129" spans="1:23" x14ac:dyDescent="0.35">
      <c r="A129">
        <v>1001210100</v>
      </c>
      <c r="B129" t="s">
        <v>23</v>
      </c>
      <c r="C129">
        <v>2001</v>
      </c>
      <c r="D129">
        <v>9</v>
      </c>
      <c r="E129">
        <v>22</v>
      </c>
      <c r="F129">
        <v>15</v>
      </c>
      <c r="G129">
        <v>55</v>
      </c>
      <c r="H129" s="1">
        <f t="shared" si="1"/>
        <v>37156.663194444445</v>
      </c>
      <c r="I129">
        <v>110.46444700000001</v>
      </c>
      <c r="J129">
        <v>-7.5378119999999997</v>
      </c>
      <c r="K129">
        <v>1.06</v>
      </c>
      <c r="L129">
        <v>1.1080000000000001</v>
      </c>
      <c r="M129">
        <v>165.16</v>
      </c>
      <c r="N129">
        <v>7.5960000000000001</v>
      </c>
      <c r="O129">
        <v>7.24</v>
      </c>
      <c r="P129">
        <v>64.459999999999994</v>
      </c>
      <c r="Q129">
        <v>-99.29</v>
      </c>
      <c r="R129">
        <v>169.31</v>
      </c>
      <c r="S129">
        <v>-129.38999999999999</v>
      </c>
      <c r="T129">
        <v>1931</v>
      </c>
      <c r="U129">
        <v>7</v>
      </c>
      <c r="V129">
        <v>-0.73499999999999999</v>
      </c>
      <c r="W129">
        <v>125.402</v>
      </c>
    </row>
    <row r="130" spans="1:23" x14ac:dyDescent="0.35">
      <c r="A130">
        <v>1001210100</v>
      </c>
      <c r="B130" t="s">
        <v>23</v>
      </c>
      <c r="C130">
        <v>2001</v>
      </c>
      <c r="D130">
        <v>9</v>
      </c>
      <c r="E130">
        <v>22</v>
      </c>
      <c r="F130">
        <v>15</v>
      </c>
      <c r="G130">
        <v>55</v>
      </c>
      <c r="H130" s="1">
        <f t="shared" ref="H130:H193" si="2">(A130+2209125600)/86400</f>
        <v>37156.663194444445</v>
      </c>
      <c r="I130">
        <v>110.470482</v>
      </c>
      <c r="J130">
        <v>-7.5376240000000001</v>
      </c>
      <c r="K130">
        <v>1.0249999999999999</v>
      </c>
      <c r="L130">
        <v>1.046</v>
      </c>
      <c r="M130">
        <v>165.16</v>
      </c>
      <c r="N130">
        <v>7.641</v>
      </c>
      <c r="O130">
        <v>7.28</v>
      </c>
      <c r="P130">
        <v>64.459999999999994</v>
      </c>
      <c r="Q130">
        <v>-99.81</v>
      </c>
      <c r="R130">
        <v>169.31</v>
      </c>
      <c r="S130">
        <v>-129.41</v>
      </c>
      <c r="T130">
        <v>1926</v>
      </c>
      <c r="U130">
        <v>7</v>
      </c>
      <c r="V130">
        <v>-0.749</v>
      </c>
      <c r="W130">
        <v>125.453</v>
      </c>
    </row>
    <row r="131" spans="1:23" x14ac:dyDescent="0.35">
      <c r="A131">
        <v>1001338200</v>
      </c>
      <c r="B131" t="s">
        <v>23</v>
      </c>
      <c r="C131">
        <v>2001</v>
      </c>
      <c r="D131">
        <v>9</v>
      </c>
      <c r="E131">
        <v>24</v>
      </c>
      <c r="F131">
        <v>3</v>
      </c>
      <c r="G131">
        <v>30</v>
      </c>
      <c r="H131" s="1">
        <f t="shared" si="2"/>
        <v>37158.145833333336</v>
      </c>
      <c r="I131">
        <v>110.453934</v>
      </c>
      <c r="J131">
        <v>-7.5391130000000004</v>
      </c>
      <c r="K131">
        <v>3.198</v>
      </c>
      <c r="L131">
        <v>-10</v>
      </c>
      <c r="M131">
        <v>10.224</v>
      </c>
      <c r="N131">
        <v>9.0939999999999994</v>
      </c>
      <c r="O131">
        <v>8.4060000000000006</v>
      </c>
      <c r="P131">
        <v>42.3</v>
      </c>
      <c r="Q131">
        <v>-82.62</v>
      </c>
      <c r="R131">
        <v>16.62</v>
      </c>
      <c r="S131">
        <v>65.459999999999994</v>
      </c>
      <c r="T131">
        <v>13</v>
      </c>
      <c r="U131">
        <v>1138</v>
      </c>
      <c r="V131">
        <v>-0.505</v>
      </c>
      <c r="W131">
        <v>29.303000000000001</v>
      </c>
    </row>
    <row r="132" spans="1:23" x14ac:dyDescent="0.35">
      <c r="A132">
        <v>1001382300</v>
      </c>
      <c r="B132" t="s">
        <v>23</v>
      </c>
      <c r="C132">
        <v>2001</v>
      </c>
      <c r="D132">
        <v>9</v>
      </c>
      <c r="E132">
        <v>24</v>
      </c>
      <c r="F132">
        <v>15</v>
      </c>
      <c r="G132">
        <v>45</v>
      </c>
      <c r="H132" s="1">
        <f t="shared" si="2"/>
        <v>37158.65625</v>
      </c>
      <c r="I132">
        <v>110.438042</v>
      </c>
      <c r="J132">
        <v>-7.5471009999999996</v>
      </c>
      <c r="K132">
        <v>0.83299999999999996</v>
      </c>
      <c r="L132">
        <v>0.995</v>
      </c>
      <c r="M132">
        <v>165.16</v>
      </c>
      <c r="N132">
        <v>7.0330000000000004</v>
      </c>
      <c r="O132">
        <v>6.62</v>
      </c>
      <c r="P132">
        <v>53.49</v>
      </c>
      <c r="Q132">
        <v>-99.41</v>
      </c>
      <c r="R132">
        <v>166.56</v>
      </c>
      <c r="S132">
        <v>-125.61</v>
      </c>
      <c r="T132">
        <v>997</v>
      </c>
      <c r="U132">
        <v>105</v>
      </c>
      <c r="V132">
        <v>-0.73899999999999999</v>
      </c>
      <c r="W132">
        <v>138.68600000000001</v>
      </c>
    </row>
    <row r="133" spans="1:23" x14ac:dyDescent="0.35">
      <c r="A133">
        <v>1001382300</v>
      </c>
      <c r="B133" t="s">
        <v>23</v>
      </c>
      <c r="C133">
        <v>2001</v>
      </c>
      <c r="D133">
        <v>9</v>
      </c>
      <c r="E133">
        <v>24</v>
      </c>
      <c r="F133">
        <v>15</v>
      </c>
      <c r="G133">
        <v>45</v>
      </c>
      <c r="H133" s="1">
        <f t="shared" si="2"/>
        <v>37158.65625</v>
      </c>
      <c r="I133">
        <v>110.466194</v>
      </c>
      <c r="J133">
        <v>-7.542478</v>
      </c>
      <c r="K133">
        <v>1.173</v>
      </c>
      <c r="L133">
        <v>1.1319999999999999</v>
      </c>
      <c r="M133">
        <v>165.16</v>
      </c>
      <c r="N133">
        <v>7.1230000000000002</v>
      </c>
      <c r="O133">
        <v>6.73</v>
      </c>
      <c r="P133">
        <v>53.71</v>
      </c>
      <c r="Q133">
        <v>-99.41</v>
      </c>
      <c r="R133">
        <v>166.56</v>
      </c>
      <c r="S133">
        <v>-125.66</v>
      </c>
      <c r="T133">
        <v>997</v>
      </c>
      <c r="U133">
        <v>104</v>
      </c>
      <c r="V133">
        <v>-0.71199999999999997</v>
      </c>
      <c r="W133">
        <v>138.43600000000001</v>
      </c>
    </row>
    <row r="134" spans="1:23" x14ac:dyDescent="0.35">
      <c r="A134">
        <v>1001382300</v>
      </c>
      <c r="B134" t="s">
        <v>23</v>
      </c>
      <c r="C134">
        <v>2001</v>
      </c>
      <c r="D134">
        <v>9</v>
      </c>
      <c r="E134">
        <v>24</v>
      </c>
      <c r="F134">
        <v>15</v>
      </c>
      <c r="G134">
        <v>45</v>
      </c>
      <c r="H134" s="1">
        <f t="shared" si="2"/>
        <v>37158.65625</v>
      </c>
      <c r="I134">
        <v>110.458466</v>
      </c>
      <c r="J134">
        <v>-7.537814</v>
      </c>
      <c r="K134">
        <v>1.538</v>
      </c>
      <c r="L134">
        <v>1.56</v>
      </c>
      <c r="M134">
        <v>165.16</v>
      </c>
      <c r="N134">
        <v>7.1420000000000003</v>
      </c>
      <c r="O134">
        <v>6.74</v>
      </c>
      <c r="P134">
        <v>53.71</v>
      </c>
      <c r="Q134">
        <v>-98.78</v>
      </c>
      <c r="R134">
        <v>166.56</v>
      </c>
      <c r="S134">
        <v>-125.63</v>
      </c>
      <c r="T134">
        <v>1001</v>
      </c>
      <c r="U134">
        <v>104</v>
      </c>
      <c r="V134">
        <v>-0.624</v>
      </c>
      <c r="W134">
        <v>138.36199999999999</v>
      </c>
    </row>
    <row r="135" spans="1:23" x14ac:dyDescent="0.35">
      <c r="A135">
        <v>1002675600</v>
      </c>
      <c r="B135" t="s">
        <v>23</v>
      </c>
      <c r="C135">
        <v>2001</v>
      </c>
      <c r="D135">
        <v>10</v>
      </c>
      <c r="E135">
        <v>9</v>
      </c>
      <c r="F135">
        <v>15</v>
      </c>
      <c r="G135">
        <v>0</v>
      </c>
      <c r="H135" s="1">
        <f t="shared" si="2"/>
        <v>37173.625</v>
      </c>
      <c r="I135">
        <v>110.437927</v>
      </c>
      <c r="J135">
        <v>-7.5411070000000002</v>
      </c>
      <c r="K135">
        <v>0.96499999999999997</v>
      </c>
      <c r="L135">
        <v>1.0009999999999999</v>
      </c>
      <c r="M135">
        <v>165.16</v>
      </c>
      <c r="N135">
        <v>6.6890000000000001</v>
      </c>
      <c r="O135">
        <v>6.3220000000000001</v>
      </c>
      <c r="P135">
        <v>30.44</v>
      </c>
      <c r="Q135">
        <v>82.51</v>
      </c>
      <c r="R135">
        <v>155.38999999999999</v>
      </c>
      <c r="S135">
        <v>-122.74</v>
      </c>
      <c r="T135">
        <v>1747</v>
      </c>
      <c r="U135">
        <v>1013</v>
      </c>
      <c r="V135">
        <v>-0.72699999999999998</v>
      </c>
      <c r="W135">
        <v>125.532</v>
      </c>
    </row>
    <row r="136" spans="1:23" x14ac:dyDescent="0.35">
      <c r="A136">
        <v>1002720300</v>
      </c>
      <c r="B136" t="s">
        <v>23</v>
      </c>
      <c r="C136">
        <v>2001</v>
      </c>
      <c r="D136">
        <v>10</v>
      </c>
      <c r="E136">
        <v>10</v>
      </c>
      <c r="F136">
        <v>3</v>
      </c>
      <c r="G136">
        <v>25</v>
      </c>
      <c r="H136" s="1">
        <f t="shared" si="2"/>
        <v>37174.142361111109</v>
      </c>
      <c r="I136">
        <v>110.457222</v>
      </c>
      <c r="J136">
        <v>-7.5459909999999999</v>
      </c>
      <c r="K136">
        <v>2.593</v>
      </c>
      <c r="L136">
        <v>-10</v>
      </c>
      <c r="M136">
        <v>16.59</v>
      </c>
      <c r="N136">
        <v>7.8570000000000002</v>
      </c>
      <c r="O136">
        <v>7.2910000000000004</v>
      </c>
      <c r="P136">
        <v>42.52</v>
      </c>
      <c r="Q136">
        <v>-81.93</v>
      </c>
      <c r="R136">
        <v>13.81</v>
      </c>
      <c r="S136">
        <v>87.47</v>
      </c>
      <c r="T136">
        <v>1908</v>
      </c>
      <c r="U136">
        <v>1140</v>
      </c>
      <c r="V136">
        <v>-0.58899999999999997</v>
      </c>
      <c r="W136">
        <v>27.922999999999998</v>
      </c>
    </row>
    <row r="137" spans="1:23" x14ac:dyDescent="0.35">
      <c r="A137">
        <v>1002764700</v>
      </c>
      <c r="B137" t="s">
        <v>23</v>
      </c>
      <c r="C137">
        <v>2001</v>
      </c>
      <c r="D137">
        <v>10</v>
      </c>
      <c r="E137">
        <v>10</v>
      </c>
      <c r="F137">
        <v>15</v>
      </c>
      <c r="G137">
        <v>45</v>
      </c>
      <c r="H137" s="1">
        <f t="shared" si="2"/>
        <v>37174.65625</v>
      </c>
      <c r="I137">
        <v>110.454094</v>
      </c>
      <c r="J137">
        <v>-7.534815</v>
      </c>
      <c r="K137">
        <v>0.35399999999999998</v>
      </c>
      <c r="L137">
        <v>0.37</v>
      </c>
      <c r="M137">
        <v>165.16</v>
      </c>
      <c r="N137">
        <v>3.4</v>
      </c>
      <c r="O137">
        <v>3.3130000000000002</v>
      </c>
      <c r="P137">
        <v>53.71</v>
      </c>
      <c r="Q137">
        <v>-99.64</v>
      </c>
      <c r="R137">
        <v>162.78</v>
      </c>
      <c r="S137">
        <v>-144.93</v>
      </c>
      <c r="T137">
        <v>869</v>
      </c>
      <c r="U137">
        <v>103</v>
      </c>
      <c r="V137">
        <v>-0.79900000000000004</v>
      </c>
      <c r="W137">
        <v>137.304</v>
      </c>
    </row>
    <row r="138" spans="1:23" x14ac:dyDescent="0.35">
      <c r="A138">
        <v>1002892500</v>
      </c>
      <c r="B138" t="s">
        <v>23</v>
      </c>
      <c r="C138">
        <v>2001</v>
      </c>
      <c r="D138">
        <v>10</v>
      </c>
      <c r="E138">
        <v>12</v>
      </c>
      <c r="F138">
        <v>3</v>
      </c>
      <c r="G138">
        <v>15</v>
      </c>
      <c r="H138" s="1">
        <f t="shared" si="2"/>
        <v>37176.135416666664</v>
      </c>
      <c r="I138">
        <v>110.44094800000001</v>
      </c>
      <c r="J138">
        <v>-7.544187</v>
      </c>
      <c r="K138">
        <v>3.028</v>
      </c>
      <c r="L138">
        <v>-10</v>
      </c>
      <c r="M138">
        <v>15.333</v>
      </c>
      <c r="N138">
        <v>9.0169999999999995</v>
      </c>
      <c r="O138">
        <v>8.4160000000000004</v>
      </c>
      <c r="P138">
        <v>19.920000000000002</v>
      </c>
      <c r="Q138">
        <v>-83.19</v>
      </c>
      <c r="R138">
        <v>16.670000000000002</v>
      </c>
      <c r="S138">
        <v>90.63</v>
      </c>
      <c r="T138">
        <v>990</v>
      </c>
      <c r="U138">
        <v>897</v>
      </c>
      <c r="V138">
        <v>-0.56000000000000005</v>
      </c>
      <c r="W138">
        <v>3.278</v>
      </c>
    </row>
    <row r="139" spans="1:23" x14ac:dyDescent="0.35">
      <c r="A139">
        <v>1002892500</v>
      </c>
      <c r="B139" t="s">
        <v>23</v>
      </c>
      <c r="C139">
        <v>2001</v>
      </c>
      <c r="D139">
        <v>10</v>
      </c>
      <c r="E139">
        <v>12</v>
      </c>
      <c r="F139">
        <v>3</v>
      </c>
      <c r="G139">
        <v>15</v>
      </c>
      <c r="H139" s="1">
        <f t="shared" si="2"/>
        <v>37176.135416666664</v>
      </c>
      <c r="I139">
        <v>110.44812</v>
      </c>
      <c r="J139">
        <v>-7.5401410000000002</v>
      </c>
      <c r="K139">
        <v>4.5149999999999997</v>
      </c>
      <c r="L139">
        <v>-10</v>
      </c>
      <c r="M139">
        <v>14.407999999999999</v>
      </c>
      <c r="N139">
        <v>9.1780000000000008</v>
      </c>
      <c r="O139">
        <v>8.3859999999999992</v>
      </c>
      <c r="P139">
        <v>19.920000000000002</v>
      </c>
      <c r="Q139">
        <v>-80.84</v>
      </c>
      <c r="R139">
        <v>16.670000000000002</v>
      </c>
      <c r="S139">
        <v>90.65</v>
      </c>
      <c r="T139">
        <v>989</v>
      </c>
      <c r="U139">
        <v>897</v>
      </c>
      <c r="V139">
        <v>-0.36499999999999999</v>
      </c>
      <c r="W139">
        <v>3.7749999999999999</v>
      </c>
    </row>
    <row r="140" spans="1:23" x14ac:dyDescent="0.35">
      <c r="A140">
        <v>1002936600</v>
      </c>
      <c r="B140" t="s">
        <v>23</v>
      </c>
      <c r="C140">
        <v>2001</v>
      </c>
      <c r="D140">
        <v>10</v>
      </c>
      <c r="E140">
        <v>12</v>
      </c>
      <c r="F140">
        <v>15</v>
      </c>
      <c r="G140">
        <v>30</v>
      </c>
      <c r="H140" s="1">
        <f t="shared" si="2"/>
        <v>37176.645833333336</v>
      </c>
      <c r="I140">
        <v>110.44049099999999</v>
      </c>
      <c r="J140">
        <v>-7.5384669999999998</v>
      </c>
      <c r="K140">
        <v>1.5229999999999999</v>
      </c>
      <c r="L140">
        <v>1.7</v>
      </c>
      <c r="M140">
        <v>165.16</v>
      </c>
      <c r="N140">
        <v>6.827</v>
      </c>
      <c r="O140">
        <v>6.4450000000000003</v>
      </c>
      <c r="P140">
        <v>37.15</v>
      </c>
      <c r="Q140">
        <v>-98.89</v>
      </c>
      <c r="R140">
        <v>160.43</v>
      </c>
      <c r="S140">
        <v>-137.68</v>
      </c>
      <c r="T140">
        <v>1986</v>
      </c>
      <c r="U140">
        <v>271</v>
      </c>
      <c r="V140">
        <v>-0.58299999999999996</v>
      </c>
      <c r="W140">
        <v>155.64099999999999</v>
      </c>
    </row>
    <row r="141" spans="1:23" x14ac:dyDescent="0.35">
      <c r="A141">
        <v>1002936600</v>
      </c>
      <c r="B141" t="s">
        <v>23</v>
      </c>
      <c r="C141">
        <v>2001</v>
      </c>
      <c r="D141">
        <v>10</v>
      </c>
      <c r="E141">
        <v>12</v>
      </c>
      <c r="F141">
        <v>15</v>
      </c>
      <c r="G141">
        <v>30</v>
      </c>
      <c r="H141" s="1">
        <f t="shared" si="2"/>
        <v>37176.645833333336</v>
      </c>
      <c r="I141">
        <v>110.45829000000001</v>
      </c>
      <c r="J141">
        <v>-7.5357219999999998</v>
      </c>
      <c r="K141">
        <v>0.93700000000000006</v>
      </c>
      <c r="L141">
        <v>0.85799999999999998</v>
      </c>
      <c r="M141">
        <v>165.16</v>
      </c>
      <c r="N141">
        <v>6.5880000000000001</v>
      </c>
      <c r="O141">
        <v>6.2690000000000001</v>
      </c>
      <c r="P141">
        <v>37.15</v>
      </c>
      <c r="Q141">
        <v>-98.89</v>
      </c>
      <c r="R141">
        <v>160.49</v>
      </c>
      <c r="S141">
        <v>-137.72</v>
      </c>
      <c r="T141">
        <v>1986</v>
      </c>
      <c r="U141">
        <v>270</v>
      </c>
      <c r="V141">
        <v>-0.75900000000000001</v>
      </c>
      <c r="W141">
        <v>155.625</v>
      </c>
    </row>
    <row r="142" spans="1:23" x14ac:dyDescent="0.35">
      <c r="A142">
        <v>1003281000</v>
      </c>
      <c r="B142" t="s">
        <v>23</v>
      </c>
      <c r="C142">
        <v>2001</v>
      </c>
      <c r="D142">
        <v>10</v>
      </c>
      <c r="E142">
        <v>16</v>
      </c>
      <c r="F142">
        <v>15</v>
      </c>
      <c r="G142">
        <v>10</v>
      </c>
      <c r="H142" s="1">
        <f t="shared" si="2"/>
        <v>37180.631944444445</v>
      </c>
      <c r="I142">
        <v>110.437454</v>
      </c>
      <c r="J142">
        <v>-7.5384679999999999</v>
      </c>
      <c r="K142">
        <v>2.4169999999999998</v>
      </c>
      <c r="L142">
        <v>-10</v>
      </c>
      <c r="M142">
        <v>165.16</v>
      </c>
      <c r="N142">
        <v>7.31</v>
      </c>
      <c r="O142">
        <v>6.9080000000000004</v>
      </c>
      <c r="P142">
        <v>17.46</v>
      </c>
      <c r="Q142">
        <v>82.79</v>
      </c>
      <c r="R142">
        <v>155.27000000000001</v>
      </c>
      <c r="S142">
        <v>-131.77000000000001</v>
      </c>
      <c r="T142">
        <v>138</v>
      </c>
      <c r="U142">
        <v>870</v>
      </c>
      <c r="V142">
        <v>-0.48199999999999998</v>
      </c>
      <c r="W142">
        <v>139.71199999999999</v>
      </c>
    </row>
    <row r="143" spans="1:23" x14ac:dyDescent="0.35">
      <c r="A143">
        <v>1003886100</v>
      </c>
      <c r="B143" t="s">
        <v>23</v>
      </c>
      <c r="C143">
        <v>2001</v>
      </c>
      <c r="D143">
        <v>10</v>
      </c>
      <c r="E143">
        <v>23</v>
      </c>
      <c r="F143">
        <v>15</v>
      </c>
      <c r="G143">
        <v>15</v>
      </c>
      <c r="H143" s="1">
        <f t="shared" si="2"/>
        <v>37187.635416666664</v>
      </c>
      <c r="I143">
        <v>110.43644</v>
      </c>
      <c r="J143">
        <v>-7.5390189999999997</v>
      </c>
      <c r="K143">
        <v>1.3740000000000001</v>
      </c>
      <c r="L143">
        <v>1.524</v>
      </c>
      <c r="M143">
        <v>165.16</v>
      </c>
      <c r="N143">
        <v>5.5389999999999997</v>
      </c>
      <c r="O143">
        <v>5.1970000000000001</v>
      </c>
      <c r="P143">
        <v>3.09</v>
      </c>
      <c r="Q143">
        <v>81.069999999999993</v>
      </c>
      <c r="R143">
        <v>154.76</v>
      </c>
      <c r="S143">
        <v>-138.52000000000001</v>
      </c>
      <c r="T143">
        <v>465</v>
      </c>
      <c r="U143">
        <v>711</v>
      </c>
      <c r="V143">
        <v>-0.54600000000000004</v>
      </c>
      <c r="W143">
        <v>152.11000000000001</v>
      </c>
    </row>
    <row r="144" spans="1:23" x14ac:dyDescent="0.35">
      <c r="A144">
        <v>1003886100</v>
      </c>
      <c r="B144" t="s">
        <v>23</v>
      </c>
      <c r="C144">
        <v>2001</v>
      </c>
      <c r="D144">
        <v>10</v>
      </c>
      <c r="E144">
        <v>23</v>
      </c>
      <c r="F144">
        <v>15</v>
      </c>
      <c r="G144">
        <v>15</v>
      </c>
      <c r="H144" s="1">
        <f t="shared" si="2"/>
        <v>37187.635416666664</v>
      </c>
      <c r="I144">
        <v>110.44529</v>
      </c>
      <c r="J144">
        <v>-7.5377770000000002</v>
      </c>
      <c r="K144">
        <v>1.5349999999999999</v>
      </c>
      <c r="L144">
        <v>1.468</v>
      </c>
      <c r="M144">
        <v>165.16</v>
      </c>
      <c r="N144">
        <v>5.3680000000000003</v>
      </c>
      <c r="O144">
        <v>5.0979999999999999</v>
      </c>
      <c r="P144">
        <v>2.97</v>
      </c>
      <c r="Q144">
        <v>81.069999999999993</v>
      </c>
      <c r="R144">
        <v>154.76</v>
      </c>
      <c r="S144">
        <v>-138.53</v>
      </c>
      <c r="T144">
        <v>465</v>
      </c>
      <c r="U144">
        <v>710</v>
      </c>
      <c r="V144">
        <v>-0.55300000000000005</v>
      </c>
      <c r="W144">
        <v>152.21899999999999</v>
      </c>
    </row>
    <row r="145" spans="1:23" x14ac:dyDescent="0.35">
      <c r="A145">
        <v>1004319000</v>
      </c>
      <c r="B145" t="s">
        <v>23</v>
      </c>
      <c r="C145">
        <v>2001</v>
      </c>
      <c r="D145">
        <v>10</v>
      </c>
      <c r="E145">
        <v>28</v>
      </c>
      <c r="F145">
        <v>15</v>
      </c>
      <c r="G145">
        <v>30</v>
      </c>
      <c r="H145" s="1">
        <f t="shared" si="2"/>
        <v>37192.645833333336</v>
      </c>
      <c r="I145">
        <v>110.44055899999999</v>
      </c>
      <c r="J145">
        <v>-7.5431189999999999</v>
      </c>
      <c r="K145">
        <v>1.17</v>
      </c>
      <c r="L145">
        <v>1.218</v>
      </c>
      <c r="M145">
        <v>165.16</v>
      </c>
      <c r="N145">
        <v>5.49</v>
      </c>
      <c r="O145">
        <v>5.1040000000000001</v>
      </c>
      <c r="P145">
        <v>36.479999999999997</v>
      </c>
      <c r="Q145">
        <v>-98.55</v>
      </c>
      <c r="R145">
        <v>156.02000000000001</v>
      </c>
      <c r="S145">
        <v>-148.13</v>
      </c>
      <c r="T145">
        <v>1644</v>
      </c>
      <c r="U145">
        <v>277</v>
      </c>
      <c r="V145">
        <v>-0.61499999999999999</v>
      </c>
      <c r="W145">
        <v>153.06299999999999</v>
      </c>
    </row>
    <row r="146" spans="1:23" x14ac:dyDescent="0.35">
      <c r="A146">
        <v>1004319000</v>
      </c>
      <c r="B146" t="s">
        <v>23</v>
      </c>
      <c r="C146">
        <v>2001</v>
      </c>
      <c r="D146">
        <v>10</v>
      </c>
      <c r="E146">
        <v>28</v>
      </c>
      <c r="F146">
        <v>15</v>
      </c>
      <c r="G146">
        <v>30</v>
      </c>
      <c r="H146" s="1">
        <f t="shared" si="2"/>
        <v>37192.645833333336</v>
      </c>
      <c r="I146">
        <v>110.456497</v>
      </c>
      <c r="J146">
        <v>-7.5407039999999999</v>
      </c>
      <c r="K146">
        <v>1.0089999999999999</v>
      </c>
      <c r="L146">
        <v>0.94599999999999995</v>
      </c>
      <c r="M146">
        <v>165.16</v>
      </c>
      <c r="N146">
        <v>5.3609999999999998</v>
      </c>
      <c r="O146">
        <v>5.0110000000000001</v>
      </c>
      <c r="P146">
        <v>36.71</v>
      </c>
      <c r="Q146">
        <v>-98.55</v>
      </c>
      <c r="R146">
        <v>156.02000000000001</v>
      </c>
      <c r="S146">
        <v>-148.16</v>
      </c>
      <c r="T146">
        <v>1644</v>
      </c>
      <c r="U146">
        <v>276</v>
      </c>
      <c r="V146">
        <v>-0.68200000000000005</v>
      </c>
      <c r="W146">
        <v>152.88999999999999</v>
      </c>
    </row>
    <row r="147" spans="1:23" x14ac:dyDescent="0.35">
      <c r="A147">
        <v>1005357300</v>
      </c>
      <c r="B147" t="s">
        <v>23</v>
      </c>
      <c r="C147">
        <v>2001</v>
      </c>
      <c r="D147">
        <v>11</v>
      </c>
      <c r="E147">
        <v>9</v>
      </c>
      <c r="F147">
        <v>15</v>
      </c>
      <c r="G147">
        <v>55</v>
      </c>
      <c r="H147" s="1">
        <f t="shared" si="2"/>
        <v>37204.663194444445</v>
      </c>
      <c r="I147">
        <v>110.470535</v>
      </c>
      <c r="J147">
        <v>-7.5412860000000004</v>
      </c>
      <c r="K147">
        <v>0.78600000000000003</v>
      </c>
      <c r="L147">
        <v>0.76400000000000001</v>
      </c>
      <c r="M147">
        <v>165.16</v>
      </c>
      <c r="N147">
        <v>6.0439999999999996</v>
      </c>
      <c r="O147">
        <v>5.6559999999999997</v>
      </c>
      <c r="P147">
        <v>64.459999999999994</v>
      </c>
      <c r="Q147">
        <v>-99.47</v>
      </c>
      <c r="R147">
        <v>154.76</v>
      </c>
      <c r="S147">
        <v>-164.85</v>
      </c>
      <c r="T147">
        <v>1273</v>
      </c>
      <c r="U147">
        <v>8</v>
      </c>
      <c r="V147">
        <v>-0.76200000000000001</v>
      </c>
      <c r="W147">
        <v>123.419</v>
      </c>
    </row>
    <row r="148" spans="1:23" x14ac:dyDescent="0.35">
      <c r="A148">
        <v>1005357300</v>
      </c>
      <c r="B148" t="s">
        <v>23</v>
      </c>
      <c r="C148">
        <v>2001</v>
      </c>
      <c r="D148">
        <v>11</v>
      </c>
      <c r="E148">
        <v>9</v>
      </c>
      <c r="F148">
        <v>15</v>
      </c>
      <c r="G148">
        <v>55</v>
      </c>
      <c r="H148" s="1">
        <f t="shared" si="2"/>
        <v>37204.663194444445</v>
      </c>
      <c r="I148">
        <v>110.47686</v>
      </c>
      <c r="J148">
        <v>-7.54101</v>
      </c>
      <c r="K148">
        <v>0.73499999999999999</v>
      </c>
      <c r="L148">
        <v>0.70699999999999996</v>
      </c>
      <c r="M148">
        <v>165.16</v>
      </c>
      <c r="N148">
        <v>6.0469999999999997</v>
      </c>
      <c r="O148">
        <v>5.6779999999999999</v>
      </c>
      <c r="P148">
        <v>64.459999999999994</v>
      </c>
      <c r="Q148">
        <v>-99.98</v>
      </c>
      <c r="R148">
        <v>154.76</v>
      </c>
      <c r="S148">
        <v>-164.87</v>
      </c>
      <c r="T148">
        <v>1268</v>
      </c>
      <c r="U148">
        <v>8</v>
      </c>
      <c r="V148">
        <v>-0.77900000000000003</v>
      </c>
      <c r="W148">
        <v>123.631</v>
      </c>
    </row>
    <row r="149" spans="1:23" x14ac:dyDescent="0.35">
      <c r="A149">
        <v>1005529500</v>
      </c>
      <c r="B149" t="s">
        <v>23</v>
      </c>
      <c r="C149">
        <v>2001</v>
      </c>
      <c r="D149">
        <v>11</v>
      </c>
      <c r="E149">
        <v>11</v>
      </c>
      <c r="F149">
        <v>15</v>
      </c>
      <c r="G149">
        <v>45</v>
      </c>
      <c r="H149" s="1">
        <f t="shared" si="2"/>
        <v>37206.65625</v>
      </c>
      <c r="I149">
        <v>110.436066</v>
      </c>
      <c r="J149">
        <v>-7.5427710000000001</v>
      </c>
      <c r="K149">
        <v>1.0309999999999999</v>
      </c>
      <c r="L149">
        <v>1.159</v>
      </c>
      <c r="M149">
        <v>165.16</v>
      </c>
      <c r="N149">
        <v>7.633</v>
      </c>
      <c r="O149">
        <v>7.202</v>
      </c>
      <c r="P149">
        <v>53.27</v>
      </c>
      <c r="Q149">
        <v>-99.41</v>
      </c>
      <c r="R149">
        <v>153.32</v>
      </c>
      <c r="S149">
        <v>-159.91999999999999</v>
      </c>
      <c r="T149">
        <v>327</v>
      </c>
      <c r="U149">
        <v>107</v>
      </c>
      <c r="V149">
        <v>-0.72299999999999998</v>
      </c>
      <c r="W149">
        <v>135.36799999999999</v>
      </c>
    </row>
    <row r="150" spans="1:23" x14ac:dyDescent="0.35">
      <c r="A150">
        <v>1005529500</v>
      </c>
      <c r="B150" t="s">
        <v>23</v>
      </c>
      <c r="C150">
        <v>2001</v>
      </c>
      <c r="D150">
        <v>11</v>
      </c>
      <c r="E150">
        <v>11</v>
      </c>
      <c r="F150">
        <v>15</v>
      </c>
      <c r="G150">
        <v>45</v>
      </c>
      <c r="H150" s="1">
        <f t="shared" si="2"/>
        <v>37206.65625</v>
      </c>
      <c r="I150">
        <v>110.466072</v>
      </c>
      <c r="J150">
        <v>-7.5378470000000002</v>
      </c>
      <c r="K150">
        <v>1.516</v>
      </c>
      <c r="L150">
        <v>1.421</v>
      </c>
      <c r="M150">
        <v>165.16</v>
      </c>
      <c r="N150">
        <v>7.6740000000000004</v>
      </c>
      <c r="O150">
        <v>7.2409999999999997</v>
      </c>
      <c r="P150">
        <v>53.49</v>
      </c>
      <c r="Q150">
        <v>-99.41</v>
      </c>
      <c r="R150">
        <v>153.32</v>
      </c>
      <c r="S150">
        <v>-159.97</v>
      </c>
      <c r="T150">
        <v>327</v>
      </c>
      <c r="U150">
        <v>106</v>
      </c>
      <c r="V150">
        <v>-0.67200000000000004</v>
      </c>
      <c r="W150">
        <v>135.155</v>
      </c>
    </row>
    <row r="151" spans="1:23" x14ac:dyDescent="0.35">
      <c r="A151">
        <v>1005529500</v>
      </c>
      <c r="B151" t="s">
        <v>23</v>
      </c>
      <c r="C151">
        <v>2001</v>
      </c>
      <c r="D151">
        <v>11</v>
      </c>
      <c r="E151">
        <v>11</v>
      </c>
      <c r="F151">
        <v>15</v>
      </c>
      <c r="G151">
        <v>45</v>
      </c>
      <c r="H151" s="1">
        <f t="shared" si="2"/>
        <v>37206.65625</v>
      </c>
      <c r="I151">
        <v>110.457748</v>
      </c>
      <c r="J151">
        <v>-7.5327529999999996</v>
      </c>
      <c r="K151">
        <v>1.8819999999999999</v>
      </c>
      <c r="L151">
        <v>-10</v>
      </c>
      <c r="M151">
        <v>165.16</v>
      </c>
      <c r="N151">
        <v>7.5890000000000004</v>
      </c>
      <c r="O151">
        <v>7.1550000000000002</v>
      </c>
      <c r="P151">
        <v>53.49</v>
      </c>
      <c r="Q151">
        <v>-98.72</v>
      </c>
      <c r="R151">
        <v>153.32</v>
      </c>
      <c r="S151">
        <v>-159.94999999999999</v>
      </c>
      <c r="T151">
        <v>331</v>
      </c>
      <c r="U151">
        <v>106</v>
      </c>
      <c r="V151">
        <v>-0.58299999999999996</v>
      </c>
      <c r="W151">
        <v>134.857</v>
      </c>
    </row>
    <row r="152" spans="1:23" x14ac:dyDescent="0.35">
      <c r="A152">
        <v>1005701400</v>
      </c>
      <c r="B152" t="s">
        <v>23</v>
      </c>
      <c r="C152">
        <v>2001</v>
      </c>
      <c r="D152">
        <v>11</v>
      </c>
      <c r="E152">
        <v>13</v>
      </c>
      <c r="F152">
        <v>15</v>
      </c>
      <c r="G152">
        <v>30</v>
      </c>
      <c r="H152" s="1">
        <f t="shared" si="2"/>
        <v>37208.645833333336</v>
      </c>
      <c r="I152">
        <v>110.45192</v>
      </c>
      <c r="J152">
        <v>-7.5441799999999999</v>
      </c>
      <c r="K152">
        <v>0.82299999999999995</v>
      </c>
      <c r="L152">
        <v>0.85199999999999998</v>
      </c>
      <c r="M152">
        <v>165.16</v>
      </c>
      <c r="N152">
        <v>7.5940000000000003</v>
      </c>
      <c r="O152">
        <v>7.2089999999999996</v>
      </c>
      <c r="P152">
        <v>36.479999999999997</v>
      </c>
      <c r="Q152">
        <v>-98.55</v>
      </c>
      <c r="R152">
        <v>151.66</v>
      </c>
      <c r="S152">
        <v>-153.31</v>
      </c>
      <c r="T152">
        <v>1404</v>
      </c>
      <c r="U152">
        <v>278</v>
      </c>
      <c r="V152">
        <v>-0.78900000000000003</v>
      </c>
      <c r="W152">
        <v>150.45599999999999</v>
      </c>
    </row>
    <row r="153" spans="1:23" x14ac:dyDescent="0.35">
      <c r="A153">
        <v>1006650900</v>
      </c>
      <c r="B153" t="s">
        <v>23</v>
      </c>
      <c r="C153">
        <v>2001</v>
      </c>
      <c r="D153">
        <v>11</v>
      </c>
      <c r="E153">
        <v>24</v>
      </c>
      <c r="F153">
        <v>15</v>
      </c>
      <c r="G153">
        <v>15</v>
      </c>
      <c r="H153" s="1">
        <f t="shared" si="2"/>
        <v>37219.635416666664</v>
      </c>
      <c r="I153">
        <v>110.444298</v>
      </c>
      <c r="J153">
        <v>-7.5422209999999996</v>
      </c>
      <c r="K153">
        <v>0.38600000000000001</v>
      </c>
      <c r="L153">
        <v>0.36699999999999999</v>
      </c>
      <c r="M153">
        <v>165.16</v>
      </c>
      <c r="N153">
        <v>2.7719999999999998</v>
      </c>
      <c r="O153">
        <v>2.6309999999999998</v>
      </c>
      <c r="P153">
        <v>3.15</v>
      </c>
      <c r="Q153">
        <v>84.4</v>
      </c>
      <c r="R153">
        <v>146.96</v>
      </c>
      <c r="S153">
        <v>-148.91999999999999</v>
      </c>
      <c r="T153">
        <v>17</v>
      </c>
      <c r="U153">
        <v>712</v>
      </c>
      <c r="V153">
        <v>-0.755</v>
      </c>
      <c r="W153">
        <v>145.024</v>
      </c>
    </row>
    <row r="154" spans="1:23" x14ac:dyDescent="0.35">
      <c r="A154">
        <v>1006911900</v>
      </c>
      <c r="B154" t="s">
        <v>23</v>
      </c>
      <c r="C154">
        <v>2001</v>
      </c>
      <c r="D154">
        <v>11</v>
      </c>
      <c r="E154">
        <v>27</v>
      </c>
      <c r="F154">
        <v>15</v>
      </c>
      <c r="G154">
        <v>45</v>
      </c>
      <c r="H154" s="1">
        <f t="shared" si="2"/>
        <v>37222.65625</v>
      </c>
      <c r="I154">
        <v>110.457222</v>
      </c>
      <c r="J154">
        <v>-7.5399640000000003</v>
      </c>
      <c r="K154">
        <v>1.57</v>
      </c>
      <c r="L154">
        <v>1.6279999999999999</v>
      </c>
      <c r="M154">
        <v>165.16</v>
      </c>
      <c r="N154">
        <v>7.1319999999999997</v>
      </c>
      <c r="O154">
        <v>6.7039999999999997</v>
      </c>
      <c r="P154">
        <v>53.71</v>
      </c>
      <c r="Q154">
        <v>-99.18</v>
      </c>
      <c r="R154">
        <v>149.6</v>
      </c>
      <c r="S154">
        <v>-160.96</v>
      </c>
      <c r="T154">
        <v>235</v>
      </c>
      <c r="U154">
        <v>103</v>
      </c>
      <c r="V154">
        <v>-0.60899999999999999</v>
      </c>
      <c r="W154">
        <v>134.697</v>
      </c>
    </row>
    <row r="155" spans="1:23" x14ac:dyDescent="0.35">
      <c r="A155">
        <v>1007083800</v>
      </c>
      <c r="B155" t="s">
        <v>23</v>
      </c>
      <c r="C155">
        <v>2001</v>
      </c>
      <c r="D155">
        <v>11</v>
      </c>
      <c r="E155">
        <v>29</v>
      </c>
      <c r="F155">
        <v>15</v>
      </c>
      <c r="G155">
        <v>30</v>
      </c>
      <c r="H155" s="1">
        <f t="shared" si="2"/>
        <v>37224.645833333336</v>
      </c>
      <c r="I155">
        <v>110.44158899999999</v>
      </c>
      <c r="J155">
        <v>-7.5417829999999997</v>
      </c>
      <c r="K155">
        <v>0.78200000000000003</v>
      </c>
      <c r="L155">
        <v>0.85299999999999998</v>
      </c>
      <c r="M155">
        <v>165.16</v>
      </c>
      <c r="N155">
        <v>5.5060000000000002</v>
      </c>
      <c r="O155">
        <v>5.1959999999999997</v>
      </c>
      <c r="P155">
        <v>36.93</v>
      </c>
      <c r="Q155">
        <v>-99.01</v>
      </c>
      <c r="R155">
        <v>148.11000000000001</v>
      </c>
      <c r="S155">
        <v>-154.77000000000001</v>
      </c>
      <c r="T155">
        <v>1347</v>
      </c>
      <c r="U155">
        <v>272</v>
      </c>
      <c r="V155">
        <v>-0.71799999999999997</v>
      </c>
      <c r="W155">
        <v>148.92099999999999</v>
      </c>
    </row>
    <row r="156" spans="1:23" x14ac:dyDescent="0.35">
      <c r="A156">
        <v>1007083800</v>
      </c>
      <c r="B156" t="s">
        <v>23</v>
      </c>
      <c r="C156">
        <v>2001</v>
      </c>
      <c r="D156">
        <v>11</v>
      </c>
      <c r="E156">
        <v>29</v>
      </c>
      <c r="F156">
        <v>15</v>
      </c>
      <c r="G156">
        <v>30</v>
      </c>
      <c r="H156" s="1">
        <f t="shared" si="2"/>
        <v>37224.645833333336</v>
      </c>
      <c r="I156">
        <v>110.45798499999999</v>
      </c>
      <c r="J156">
        <v>-7.5392380000000001</v>
      </c>
      <c r="K156">
        <v>0.71599999999999997</v>
      </c>
      <c r="L156">
        <v>0.67600000000000005</v>
      </c>
      <c r="M156">
        <v>165.16</v>
      </c>
      <c r="N156">
        <v>5.5869999999999997</v>
      </c>
      <c r="O156">
        <v>5.2309999999999999</v>
      </c>
      <c r="P156">
        <v>37.15</v>
      </c>
      <c r="Q156">
        <v>-99.01</v>
      </c>
      <c r="R156">
        <v>148.11000000000001</v>
      </c>
      <c r="S156">
        <v>-154.79</v>
      </c>
      <c r="T156">
        <v>1347</v>
      </c>
      <c r="U156">
        <v>271</v>
      </c>
      <c r="V156">
        <v>-0.77100000000000002</v>
      </c>
      <c r="W156">
        <v>148.79499999999999</v>
      </c>
    </row>
    <row r="157" spans="1:23" x14ac:dyDescent="0.35">
      <c r="A157">
        <v>1007861100</v>
      </c>
      <c r="B157" t="s">
        <v>23</v>
      </c>
      <c r="C157">
        <v>2001</v>
      </c>
      <c r="D157">
        <v>12</v>
      </c>
      <c r="E157">
        <v>8</v>
      </c>
      <c r="F157">
        <v>15</v>
      </c>
      <c r="G157">
        <v>25</v>
      </c>
      <c r="H157" s="1">
        <f t="shared" si="2"/>
        <v>37233.642361111109</v>
      </c>
      <c r="I157">
        <v>110.440529</v>
      </c>
      <c r="J157">
        <v>-7.5449020000000004</v>
      </c>
      <c r="K157">
        <v>1.4910000000000001</v>
      </c>
      <c r="L157">
        <v>1.68</v>
      </c>
      <c r="M157">
        <v>165.16</v>
      </c>
      <c r="N157">
        <v>7.1070000000000002</v>
      </c>
      <c r="O157">
        <v>6.6909999999999998</v>
      </c>
      <c r="P157">
        <v>25.4</v>
      </c>
      <c r="Q157">
        <v>-97.63</v>
      </c>
      <c r="R157">
        <v>145.93</v>
      </c>
      <c r="S157">
        <v>-152.62</v>
      </c>
      <c r="T157">
        <v>731</v>
      </c>
      <c r="U157">
        <v>397</v>
      </c>
      <c r="V157">
        <v>-0.59899999999999998</v>
      </c>
      <c r="W157">
        <v>152.274</v>
      </c>
    </row>
    <row r="158" spans="1:23" x14ac:dyDescent="0.35">
      <c r="A158">
        <v>1007861100</v>
      </c>
      <c r="B158" t="s">
        <v>23</v>
      </c>
      <c r="C158">
        <v>2001</v>
      </c>
      <c r="D158">
        <v>12</v>
      </c>
      <c r="E158">
        <v>8</v>
      </c>
      <c r="F158">
        <v>15</v>
      </c>
      <c r="G158">
        <v>25</v>
      </c>
      <c r="H158" s="1">
        <f t="shared" si="2"/>
        <v>37233.642361111109</v>
      </c>
      <c r="I158">
        <v>110.452316</v>
      </c>
      <c r="J158">
        <v>-7.5431929999999996</v>
      </c>
      <c r="K158">
        <v>1.891</v>
      </c>
      <c r="L158">
        <v>1.879</v>
      </c>
      <c r="M158">
        <v>165.16</v>
      </c>
      <c r="N158">
        <v>7.0839999999999996</v>
      </c>
      <c r="O158">
        <v>6.75</v>
      </c>
      <c r="P158">
        <v>25.4</v>
      </c>
      <c r="Q158">
        <v>-97.63</v>
      </c>
      <c r="R158">
        <v>145.93</v>
      </c>
      <c r="S158">
        <v>-152.63</v>
      </c>
      <c r="T158">
        <v>731</v>
      </c>
      <c r="U158">
        <v>396</v>
      </c>
      <c r="V158">
        <v>-0.56399999999999995</v>
      </c>
      <c r="W158">
        <v>152.27199999999999</v>
      </c>
    </row>
    <row r="159" spans="1:23" x14ac:dyDescent="0.35">
      <c r="A159">
        <v>1008466200</v>
      </c>
      <c r="B159" t="s">
        <v>23</v>
      </c>
      <c r="C159">
        <v>2001</v>
      </c>
      <c r="D159">
        <v>12</v>
      </c>
      <c r="E159">
        <v>15</v>
      </c>
      <c r="F159">
        <v>15</v>
      </c>
      <c r="G159">
        <v>30</v>
      </c>
      <c r="H159" s="1">
        <f t="shared" si="2"/>
        <v>37240.645833333336</v>
      </c>
      <c r="I159">
        <v>110.443939</v>
      </c>
      <c r="J159">
        <v>-7.5451220000000001</v>
      </c>
      <c r="K159">
        <v>1.8</v>
      </c>
      <c r="L159">
        <v>1.9810000000000001</v>
      </c>
      <c r="M159">
        <v>165.16</v>
      </c>
      <c r="N159">
        <v>7.0129999999999999</v>
      </c>
      <c r="O159">
        <v>6.5880000000000001</v>
      </c>
      <c r="P159">
        <v>36.26</v>
      </c>
      <c r="Q159">
        <v>-98.43</v>
      </c>
      <c r="R159">
        <v>145.76</v>
      </c>
      <c r="S159">
        <v>-153.69</v>
      </c>
      <c r="T159">
        <v>973</v>
      </c>
      <c r="U159">
        <v>279</v>
      </c>
      <c r="V159">
        <v>-0.53800000000000003</v>
      </c>
      <c r="W159">
        <v>148.803</v>
      </c>
    </row>
    <row r="160" spans="1:23" x14ac:dyDescent="0.35">
      <c r="A160">
        <v>1008466200</v>
      </c>
      <c r="B160" t="s">
        <v>23</v>
      </c>
      <c r="C160">
        <v>2001</v>
      </c>
      <c r="D160">
        <v>12</v>
      </c>
      <c r="E160">
        <v>15</v>
      </c>
      <c r="F160">
        <v>15</v>
      </c>
      <c r="G160">
        <v>30</v>
      </c>
      <c r="H160" s="1">
        <f t="shared" si="2"/>
        <v>37240.645833333336</v>
      </c>
      <c r="I160">
        <v>110.459129</v>
      </c>
      <c r="J160">
        <v>-7.5428329999999999</v>
      </c>
      <c r="K160">
        <v>0.98699999999999999</v>
      </c>
      <c r="L160">
        <v>0.95199999999999996</v>
      </c>
      <c r="M160">
        <v>165.16</v>
      </c>
      <c r="N160">
        <v>6.827</v>
      </c>
      <c r="O160">
        <v>6.452</v>
      </c>
      <c r="P160">
        <v>36.479999999999997</v>
      </c>
      <c r="Q160">
        <v>-98.43</v>
      </c>
      <c r="R160">
        <v>145.76</v>
      </c>
      <c r="S160">
        <v>-153.71</v>
      </c>
      <c r="T160">
        <v>973</v>
      </c>
      <c r="U160">
        <v>278</v>
      </c>
      <c r="V160">
        <v>-0.74299999999999999</v>
      </c>
      <c r="W160">
        <v>148.696</v>
      </c>
    </row>
    <row r="161" spans="1:23" x14ac:dyDescent="0.35">
      <c r="A161">
        <v>1008466200</v>
      </c>
      <c r="B161" t="s">
        <v>23</v>
      </c>
      <c r="C161">
        <v>2001</v>
      </c>
      <c r="D161">
        <v>12</v>
      </c>
      <c r="E161">
        <v>15</v>
      </c>
      <c r="F161">
        <v>15</v>
      </c>
      <c r="G161">
        <v>30</v>
      </c>
      <c r="H161" s="1">
        <f t="shared" si="2"/>
        <v>37240.645833333336</v>
      </c>
      <c r="I161">
        <v>110.44047500000001</v>
      </c>
      <c r="J161">
        <v>-7.5345779999999998</v>
      </c>
      <c r="K161">
        <v>0.88600000000000001</v>
      </c>
      <c r="L161">
        <v>0.86099999999999999</v>
      </c>
      <c r="M161">
        <v>165.16</v>
      </c>
      <c r="N161">
        <v>6.6360000000000001</v>
      </c>
      <c r="O161">
        <v>6.2910000000000004</v>
      </c>
      <c r="P161">
        <v>36.26</v>
      </c>
      <c r="Q161">
        <v>-98.55</v>
      </c>
      <c r="R161">
        <v>145.76</v>
      </c>
      <c r="S161">
        <v>-153.68</v>
      </c>
      <c r="T161">
        <v>974</v>
      </c>
      <c r="U161">
        <v>279</v>
      </c>
      <c r="V161">
        <v>-0.75900000000000001</v>
      </c>
      <c r="W161">
        <v>148.87299999999999</v>
      </c>
    </row>
    <row r="162" spans="1:23" x14ac:dyDescent="0.35">
      <c r="A162">
        <v>1008638400</v>
      </c>
      <c r="B162" t="s">
        <v>23</v>
      </c>
      <c r="C162">
        <v>2001</v>
      </c>
      <c r="D162">
        <v>12</v>
      </c>
      <c r="E162">
        <v>17</v>
      </c>
      <c r="F162">
        <v>15</v>
      </c>
      <c r="G162">
        <v>20</v>
      </c>
      <c r="H162" s="1">
        <f t="shared" si="2"/>
        <v>37242.638888888891</v>
      </c>
      <c r="I162">
        <v>110.44628899999999</v>
      </c>
      <c r="J162">
        <v>-7.5369039999999998</v>
      </c>
      <c r="K162">
        <v>0.72299999999999998</v>
      </c>
      <c r="L162">
        <v>0.73299999999999998</v>
      </c>
      <c r="M162">
        <v>165.16</v>
      </c>
      <c r="N162">
        <v>5.8250000000000002</v>
      </c>
      <c r="O162">
        <v>5.57</v>
      </c>
      <c r="P162">
        <v>10.69</v>
      </c>
      <c r="Q162">
        <v>-98.15</v>
      </c>
      <c r="R162">
        <v>144.16</v>
      </c>
      <c r="S162">
        <v>-150</v>
      </c>
      <c r="T162">
        <v>5</v>
      </c>
      <c r="U162">
        <v>558</v>
      </c>
      <c r="V162">
        <v>-0.76700000000000002</v>
      </c>
      <c r="W162">
        <v>149.71</v>
      </c>
    </row>
    <row r="163" spans="1:23" x14ac:dyDescent="0.35">
      <c r="A163">
        <v>1009071300</v>
      </c>
      <c r="B163" t="s">
        <v>23</v>
      </c>
      <c r="C163">
        <v>2001</v>
      </c>
      <c r="D163">
        <v>12</v>
      </c>
      <c r="E163">
        <v>22</v>
      </c>
      <c r="F163">
        <v>15</v>
      </c>
      <c r="G163">
        <v>35</v>
      </c>
      <c r="H163" s="1">
        <f t="shared" si="2"/>
        <v>37247.649305555555</v>
      </c>
      <c r="I163">
        <v>110.438103</v>
      </c>
      <c r="J163">
        <v>-7.5428420000000003</v>
      </c>
      <c r="K163">
        <v>0.86699999999999999</v>
      </c>
      <c r="L163">
        <v>0.98099999999999998</v>
      </c>
      <c r="M163">
        <v>165.16</v>
      </c>
      <c r="N163">
        <v>7.5570000000000004</v>
      </c>
      <c r="O163">
        <v>7.109</v>
      </c>
      <c r="P163">
        <v>45.66</v>
      </c>
      <c r="Q163">
        <v>-99.24</v>
      </c>
      <c r="R163">
        <v>145.88</v>
      </c>
      <c r="S163">
        <v>-154.36000000000001</v>
      </c>
      <c r="T163">
        <v>1357</v>
      </c>
      <c r="U163">
        <v>182</v>
      </c>
      <c r="V163">
        <v>-0.75700000000000001</v>
      </c>
      <c r="W163">
        <v>143.87100000000001</v>
      </c>
    </row>
    <row r="164" spans="1:23" x14ac:dyDescent="0.35">
      <c r="A164">
        <v>1009071300</v>
      </c>
      <c r="B164" t="s">
        <v>23</v>
      </c>
      <c r="C164">
        <v>2001</v>
      </c>
      <c r="D164">
        <v>12</v>
      </c>
      <c r="E164">
        <v>22</v>
      </c>
      <c r="F164">
        <v>15</v>
      </c>
      <c r="G164">
        <v>35</v>
      </c>
      <c r="H164" s="1">
        <f t="shared" si="2"/>
        <v>37247.649305555555</v>
      </c>
      <c r="I164">
        <v>110.459953</v>
      </c>
      <c r="J164">
        <v>-7.5393509999999999</v>
      </c>
      <c r="K164">
        <v>1.1100000000000001</v>
      </c>
      <c r="L164">
        <v>1.0549999999999999</v>
      </c>
      <c r="M164">
        <v>165.16</v>
      </c>
      <c r="N164">
        <v>7.532</v>
      </c>
      <c r="O164">
        <v>7.101</v>
      </c>
      <c r="P164">
        <v>45.88</v>
      </c>
      <c r="Q164">
        <v>-99.24</v>
      </c>
      <c r="R164">
        <v>145.88</v>
      </c>
      <c r="S164">
        <v>-154.38999999999999</v>
      </c>
      <c r="T164">
        <v>1357</v>
      </c>
      <c r="U164">
        <v>181</v>
      </c>
      <c r="V164">
        <v>-0.74099999999999999</v>
      </c>
      <c r="W164">
        <v>143.71700000000001</v>
      </c>
    </row>
    <row r="165" spans="1:23" x14ac:dyDescent="0.35">
      <c r="A165">
        <v>1009071300</v>
      </c>
      <c r="B165" t="s">
        <v>23</v>
      </c>
      <c r="C165">
        <v>2001</v>
      </c>
      <c r="D165">
        <v>12</v>
      </c>
      <c r="E165">
        <v>22</v>
      </c>
      <c r="F165">
        <v>15</v>
      </c>
      <c r="G165">
        <v>35</v>
      </c>
      <c r="H165" s="1">
        <f t="shared" si="2"/>
        <v>37247.649305555555</v>
      </c>
      <c r="I165">
        <v>110.452568</v>
      </c>
      <c r="J165">
        <v>-7.53653</v>
      </c>
      <c r="K165">
        <v>1.204</v>
      </c>
      <c r="L165">
        <v>1.4530000000000001</v>
      </c>
      <c r="M165">
        <v>165.16</v>
      </c>
      <c r="N165">
        <v>7.6289999999999996</v>
      </c>
      <c r="O165">
        <v>7.21</v>
      </c>
      <c r="P165">
        <v>45.88</v>
      </c>
      <c r="Q165">
        <v>-98.32</v>
      </c>
      <c r="R165">
        <v>145.88</v>
      </c>
      <c r="S165">
        <v>-154.37</v>
      </c>
      <c r="T165">
        <v>1360</v>
      </c>
      <c r="U165">
        <v>181</v>
      </c>
      <c r="V165">
        <v>-0.66500000000000004</v>
      </c>
      <c r="W165">
        <v>143.208</v>
      </c>
    </row>
    <row r="166" spans="1:23" x14ac:dyDescent="0.35">
      <c r="A166">
        <v>1009587600</v>
      </c>
      <c r="B166" t="s">
        <v>23</v>
      </c>
      <c r="C166">
        <v>2001</v>
      </c>
      <c r="D166">
        <v>12</v>
      </c>
      <c r="E166">
        <v>28</v>
      </c>
      <c r="F166">
        <v>15</v>
      </c>
      <c r="G166">
        <v>0</v>
      </c>
      <c r="H166" s="1">
        <f t="shared" si="2"/>
        <v>37253.625</v>
      </c>
      <c r="I166">
        <v>110.435143</v>
      </c>
      <c r="J166">
        <v>-7.5415200000000002</v>
      </c>
      <c r="K166">
        <v>0.54300000000000004</v>
      </c>
      <c r="L166">
        <v>0.55500000000000005</v>
      </c>
      <c r="M166">
        <v>165.16</v>
      </c>
      <c r="N166">
        <v>5.2229999999999999</v>
      </c>
      <c r="O166">
        <v>4.976</v>
      </c>
      <c r="P166">
        <v>30.89</v>
      </c>
      <c r="Q166">
        <v>81.819999999999993</v>
      </c>
      <c r="R166">
        <v>140.94999999999999</v>
      </c>
      <c r="S166">
        <v>-142.22999999999999</v>
      </c>
      <c r="T166">
        <v>663</v>
      </c>
      <c r="U166">
        <v>1017</v>
      </c>
      <c r="V166">
        <v>-0.79900000000000004</v>
      </c>
      <c r="W166">
        <v>115.491</v>
      </c>
    </row>
    <row r="167" spans="1:23" x14ac:dyDescent="0.35">
      <c r="A167">
        <v>1010020500</v>
      </c>
      <c r="B167" t="s">
        <v>23</v>
      </c>
      <c r="C167">
        <v>2002</v>
      </c>
      <c r="D167">
        <v>1</v>
      </c>
      <c r="E167">
        <v>2</v>
      </c>
      <c r="F167">
        <v>15</v>
      </c>
      <c r="G167">
        <v>15</v>
      </c>
      <c r="H167" s="1">
        <f t="shared" si="2"/>
        <v>37258.635416666664</v>
      </c>
      <c r="I167">
        <v>110.44562500000001</v>
      </c>
      <c r="J167">
        <v>-7.5380320000000003</v>
      </c>
      <c r="K167">
        <v>1.0089999999999999</v>
      </c>
      <c r="L167">
        <v>1.0189999999999999</v>
      </c>
      <c r="M167">
        <v>165.16</v>
      </c>
      <c r="N167">
        <v>7.6909999999999998</v>
      </c>
      <c r="O167">
        <v>7.2850000000000001</v>
      </c>
      <c r="P167">
        <v>11.36</v>
      </c>
      <c r="Q167">
        <v>-98.15</v>
      </c>
      <c r="R167">
        <v>143.53</v>
      </c>
      <c r="S167">
        <v>-145.49</v>
      </c>
      <c r="T167">
        <v>1975</v>
      </c>
      <c r="U167">
        <v>551</v>
      </c>
      <c r="V167">
        <v>-0.755</v>
      </c>
      <c r="W167">
        <v>149.529</v>
      </c>
    </row>
    <row r="168" spans="1:23" x14ac:dyDescent="0.35">
      <c r="A168">
        <v>1011058800</v>
      </c>
      <c r="B168" t="s">
        <v>23</v>
      </c>
      <c r="C168">
        <v>2002</v>
      </c>
      <c r="D168">
        <v>1</v>
      </c>
      <c r="E168">
        <v>14</v>
      </c>
      <c r="F168">
        <v>15</v>
      </c>
      <c r="G168">
        <v>40</v>
      </c>
      <c r="H168" s="1">
        <f t="shared" si="2"/>
        <v>37270.652777777781</v>
      </c>
      <c r="I168">
        <v>110.456886</v>
      </c>
      <c r="J168">
        <v>-7.5448899999999997</v>
      </c>
      <c r="K168">
        <v>0.628</v>
      </c>
      <c r="L168">
        <v>0.745</v>
      </c>
      <c r="M168">
        <v>165.16</v>
      </c>
      <c r="N168">
        <v>6.9690000000000003</v>
      </c>
      <c r="O168">
        <v>6.5049999999999999</v>
      </c>
      <c r="P168">
        <v>53.27</v>
      </c>
      <c r="Q168">
        <v>-98.61</v>
      </c>
      <c r="R168">
        <v>147.25</v>
      </c>
      <c r="S168">
        <v>-150.51</v>
      </c>
      <c r="T168">
        <v>1570</v>
      </c>
      <c r="U168">
        <v>107</v>
      </c>
      <c r="V168">
        <v>-0.79400000000000004</v>
      </c>
      <c r="W168">
        <v>140.46299999999999</v>
      </c>
    </row>
    <row r="169" spans="1:23" x14ac:dyDescent="0.35">
      <c r="A169">
        <v>1011058800</v>
      </c>
      <c r="B169" t="s">
        <v>23</v>
      </c>
      <c r="C169">
        <v>2002</v>
      </c>
      <c r="D169">
        <v>1</v>
      </c>
      <c r="E169">
        <v>14</v>
      </c>
      <c r="F169">
        <v>15</v>
      </c>
      <c r="G169">
        <v>40</v>
      </c>
      <c r="H169" s="1">
        <f t="shared" si="2"/>
        <v>37270.652777777781</v>
      </c>
      <c r="I169">
        <v>110.461151</v>
      </c>
      <c r="J169">
        <v>-7.5364230000000001</v>
      </c>
      <c r="K169">
        <v>0.89600000000000002</v>
      </c>
      <c r="L169">
        <v>0.88200000000000001</v>
      </c>
      <c r="M169">
        <v>165.16</v>
      </c>
      <c r="N169">
        <v>7.0250000000000004</v>
      </c>
      <c r="O169">
        <v>6.5449999999999999</v>
      </c>
      <c r="P169">
        <v>53.27</v>
      </c>
      <c r="Q169">
        <v>-99.41</v>
      </c>
      <c r="R169">
        <v>147.25</v>
      </c>
      <c r="S169">
        <v>-150.51</v>
      </c>
      <c r="T169">
        <v>1567</v>
      </c>
      <c r="U169">
        <v>107</v>
      </c>
      <c r="V169">
        <v>-0.76200000000000001</v>
      </c>
      <c r="W169">
        <v>140.89599999999999</v>
      </c>
    </row>
    <row r="170" spans="1:23" x14ac:dyDescent="0.35">
      <c r="A170">
        <v>1017537600</v>
      </c>
      <c r="B170" t="s">
        <v>23</v>
      </c>
      <c r="C170">
        <v>2002</v>
      </c>
      <c r="D170">
        <v>3</v>
      </c>
      <c r="E170">
        <v>30</v>
      </c>
      <c r="F170">
        <v>15</v>
      </c>
      <c r="G170">
        <v>20</v>
      </c>
      <c r="H170" s="1">
        <f t="shared" si="2"/>
        <v>37345.638888888891</v>
      </c>
      <c r="I170">
        <v>110.43920900000001</v>
      </c>
      <c r="J170">
        <v>-7.5448919999999999</v>
      </c>
      <c r="K170">
        <v>0.56499999999999995</v>
      </c>
      <c r="L170">
        <v>0.68899999999999995</v>
      </c>
      <c r="M170">
        <v>166.51400000000001</v>
      </c>
      <c r="N170">
        <v>6.4180000000000001</v>
      </c>
      <c r="O170">
        <v>6.0380000000000003</v>
      </c>
      <c r="P170">
        <v>24.95</v>
      </c>
      <c r="Q170">
        <v>-98.95</v>
      </c>
      <c r="R170">
        <v>160.19999999999999</v>
      </c>
      <c r="S170">
        <v>-99.01</v>
      </c>
      <c r="T170">
        <v>1847</v>
      </c>
      <c r="U170">
        <v>401</v>
      </c>
      <c r="V170">
        <v>-0.79500000000000004</v>
      </c>
      <c r="W170">
        <v>175.93299999999999</v>
      </c>
    </row>
    <row r="171" spans="1:23" x14ac:dyDescent="0.35">
      <c r="A171">
        <v>1017537600</v>
      </c>
      <c r="B171" t="s">
        <v>23</v>
      </c>
      <c r="C171">
        <v>2002</v>
      </c>
      <c r="D171">
        <v>3</v>
      </c>
      <c r="E171">
        <v>30</v>
      </c>
      <c r="F171">
        <v>15</v>
      </c>
      <c r="G171">
        <v>20</v>
      </c>
      <c r="H171" s="1">
        <f t="shared" si="2"/>
        <v>37345.638888888891</v>
      </c>
      <c r="I171">
        <v>110.450874</v>
      </c>
      <c r="J171">
        <v>-7.5431270000000001</v>
      </c>
      <c r="K171">
        <v>1.0189999999999999</v>
      </c>
      <c r="L171">
        <v>0.98599999999999999</v>
      </c>
      <c r="M171">
        <v>166.51400000000001</v>
      </c>
      <c r="N171">
        <v>6.4589999999999996</v>
      </c>
      <c r="O171">
        <v>6.11</v>
      </c>
      <c r="P171">
        <v>25.07</v>
      </c>
      <c r="Q171">
        <v>-98.95</v>
      </c>
      <c r="R171">
        <v>160.26</v>
      </c>
      <c r="S171">
        <v>-99.02</v>
      </c>
      <c r="T171">
        <v>1847</v>
      </c>
      <c r="U171">
        <v>400</v>
      </c>
      <c r="V171">
        <v>-0.72199999999999998</v>
      </c>
      <c r="W171">
        <v>175.809</v>
      </c>
    </row>
    <row r="172" spans="1:23" x14ac:dyDescent="0.35">
      <c r="A172">
        <v>1018748100</v>
      </c>
      <c r="B172" t="s">
        <v>23</v>
      </c>
      <c r="C172">
        <v>2002</v>
      </c>
      <c r="D172">
        <v>4</v>
      </c>
      <c r="E172">
        <v>13</v>
      </c>
      <c r="F172">
        <v>15</v>
      </c>
      <c r="G172">
        <v>35</v>
      </c>
      <c r="H172" s="1">
        <f t="shared" si="2"/>
        <v>37359.649305555555</v>
      </c>
      <c r="I172">
        <v>110.43369300000001</v>
      </c>
      <c r="J172">
        <v>-7.5443280000000001</v>
      </c>
      <c r="K172">
        <v>1.028</v>
      </c>
      <c r="L172">
        <v>1.0509999999999999</v>
      </c>
      <c r="M172">
        <v>166.51400000000001</v>
      </c>
      <c r="N172">
        <v>7.407</v>
      </c>
      <c r="O172">
        <v>7.0039999999999996</v>
      </c>
      <c r="P172">
        <v>45.66</v>
      </c>
      <c r="Q172">
        <v>-99.41</v>
      </c>
      <c r="R172">
        <v>164.55</v>
      </c>
      <c r="S172">
        <v>-83.11</v>
      </c>
      <c r="T172">
        <v>648</v>
      </c>
      <c r="U172">
        <v>183</v>
      </c>
      <c r="V172">
        <v>-0.73899999999999999</v>
      </c>
      <c r="W172">
        <v>149.297</v>
      </c>
    </row>
    <row r="173" spans="1:23" x14ac:dyDescent="0.35">
      <c r="A173">
        <v>1018748100</v>
      </c>
      <c r="B173" t="s">
        <v>23</v>
      </c>
      <c r="C173">
        <v>2002</v>
      </c>
      <c r="D173">
        <v>4</v>
      </c>
      <c r="E173">
        <v>13</v>
      </c>
      <c r="F173">
        <v>15</v>
      </c>
      <c r="G173">
        <v>35</v>
      </c>
      <c r="H173" s="1">
        <f t="shared" si="2"/>
        <v>37359.649305555555</v>
      </c>
      <c r="I173">
        <v>110.453529</v>
      </c>
      <c r="J173">
        <v>-7.5411210000000004</v>
      </c>
      <c r="K173">
        <v>2.5369999999999999</v>
      </c>
      <c r="L173">
        <v>-10</v>
      </c>
      <c r="M173">
        <v>166.51400000000001</v>
      </c>
      <c r="N173">
        <v>7.4569999999999999</v>
      </c>
      <c r="O173">
        <v>7.0609999999999999</v>
      </c>
      <c r="P173">
        <v>45.66</v>
      </c>
      <c r="Q173">
        <v>-99.41</v>
      </c>
      <c r="R173">
        <v>164.55</v>
      </c>
      <c r="S173">
        <v>-83.09</v>
      </c>
      <c r="T173">
        <v>648</v>
      </c>
      <c r="U173">
        <v>182</v>
      </c>
      <c r="V173">
        <v>-0.47099999999999997</v>
      </c>
      <c r="W173">
        <v>149.27699999999999</v>
      </c>
    </row>
    <row r="174" spans="1:23" x14ac:dyDescent="0.35">
      <c r="A174">
        <v>1018748100</v>
      </c>
      <c r="B174" t="s">
        <v>23</v>
      </c>
      <c r="C174">
        <v>2002</v>
      </c>
      <c r="D174">
        <v>4</v>
      </c>
      <c r="E174">
        <v>13</v>
      </c>
      <c r="F174">
        <v>15</v>
      </c>
      <c r="G174">
        <v>35</v>
      </c>
      <c r="H174" s="1">
        <f t="shared" si="2"/>
        <v>37359.649305555555</v>
      </c>
      <c r="I174">
        <v>110.444534</v>
      </c>
      <c r="J174">
        <v>-7.5384029999999997</v>
      </c>
      <c r="K174">
        <v>2.1739999999999999</v>
      </c>
      <c r="L174">
        <v>-10</v>
      </c>
      <c r="M174">
        <v>166.51400000000001</v>
      </c>
      <c r="N174">
        <v>7.452</v>
      </c>
      <c r="O174">
        <v>7.0439999999999996</v>
      </c>
      <c r="P174">
        <v>45.66</v>
      </c>
      <c r="Q174">
        <v>-98.49</v>
      </c>
      <c r="R174">
        <v>164.55</v>
      </c>
      <c r="S174">
        <v>-83.09</v>
      </c>
      <c r="T174">
        <v>651</v>
      </c>
      <c r="U174">
        <v>182</v>
      </c>
      <c r="V174">
        <v>-0.52800000000000002</v>
      </c>
      <c r="W174">
        <v>149.381</v>
      </c>
    </row>
    <row r="175" spans="1:23" x14ac:dyDescent="0.35">
      <c r="A175">
        <v>1019697300</v>
      </c>
      <c r="B175" t="s">
        <v>23</v>
      </c>
      <c r="C175">
        <v>2002</v>
      </c>
      <c r="D175">
        <v>4</v>
      </c>
      <c r="E175">
        <v>24</v>
      </c>
      <c r="F175">
        <v>15</v>
      </c>
      <c r="G175">
        <v>15</v>
      </c>
      <c r="H175" s="1">
        <f t="shared" si="2"/>
        <v>37370.635416666664</v>
      </c>
      <c r="I175">
        <v>110.439301</v>
      </c>
      <c r="J175">
        <v>-7.5410779999999997</v>
      </c>
      <c r="K175">
        <v>0.92100000000000004</v>
      </c>
      <c r="L175">
        <v>0.98699999999999999</v>
      </c>
      <c r="M175">
        <v>166.51400000000001</v>
      </c>
      <c r="N175">
        <v>6.6379999999999999</v>
      </c>
      <c r="O175">
        <v>6.2919999999999998</v>
      </c>
      <c r="P175">
        <v>11.3</v>
      </c>
      <c r="Q175">
        <v>-99.12</v>
      </c>
      <c r="R175">
        <v>160.08000000000001</v>
      </c>
      <c r="S175">
        <v>-73.23</v>
      </c>
      <c r="T175">
        <v>1417</v>
      </c>
      <c r="U175">
        <v>551</v>
      </c>
      <c r="V175">
        <v>-0.72899999999999998</v>
      </c>
      <c r="W175">
        <v>168.40199999999999</v>
      </c>
    </row>
    <row r="176" spans="1:23" x14ac:dyDescent="0.35">
      <c r="A176">
        <v>1021684800</v>
      </c>
      <c r="B176" t="s">
        <v>23</v>
      </c>
      <c r="C176">
        <v>2002</v>
      </c>
      <c r="D176">
        <v>5</v>
      </c>
      <c r="E176">
        <v>17</v>
      </c>
      <c r="F176">
        <v>15</v>
      </c>
      <c r="G176">
        <v>20</v>
      </c>
      <c r="H176" s="1">
        <f t="shared" si="2"/>
        <v>37393.638888888891</v>
      </c>
      <c r="I176">
        <v>110.44860799999999</v>
      </c>
      <c r="J176">
        <v>-7.5401740000000004</v>
      </c>
      <c r="K176">
        <v>1.5409999999999999</v>
      </c>
      <c r="L176">
        <v>1.536</v>
      </c>
      <c r="M176">
        <v>164.81100000000001</v>
      </c>
      <c r="N176">
        <v>7.4729999999999999</v>
      </c>
      <c r="O176">
        <v>7.1710000000000003</v>
      </c>
      <c r="P176">
        <v>25.4</v>
      </c>
      <c r="Q176">
        <v>-98.55</v>
      </c>
      <c r="R176">
        <v>159.34</v>
      </c>
      <c r="S176">
        <v>-54.92</v>
      </c>
      <c r="T176">
        <v>1915</v>
      </c>
      <c r="U176">
        <v>397</v>
      </c>
      <c r="V176">
        <v>-0.64700000000000002</v>
      </c>
      <c r="W176">
        <v>162.58699999999999</v>
      </c>
    </row>
    <row r="177" spans="1:23" x14ac:dyDescent="0.35">
      <c r="A177">
        <v>1028002500</v>
      </c>
      <c r="B177" t="s">
        <v>22</v>
      </c>
      <c r="C177">
        <v>2002</v>
      </c>
      <c r="D177">
        <v>7</v>
      </c>
      <c r="E177">
        <v>29</v>
      </c>
      <c r="F177">
        <v>18</v>
      </c>
      <c r="G177">
        <v>15</v>
      </c>
      <c r="H177" s="1">
        <f t="shared" si="2"/>
        <v>37466.760416666664</v>
      </c>
      <c r="I177">
        <v>110.45179</v>
      </c>
      <c r="J177">
        <v>-7.5382720000000001</v>
      </c>
      <c r="K177">
        <v>0.84699999999999998</v>
      </c>
      <c r="L177">
        <v>0.83199999999999996</v>
      </c>
      <c r="M177">
        <v>201.56200000000001</v>
      </c>
      <c r="N177">
        <v>7.431</v>
      </c>
      <c r="O177">
        <v>7.1070000000000002</v>
      </c>
      <c r="P177">
        <v>19.25</v>
      </c>
      <c r="Q177">
        <v>-80.959999999999994</v>
      </c>
      <c r="R177">
        <v>155.16</v>
      </c>
      <c r="S177">
        <v>60.92</v>
      </c>
      <c r="T177">
        <v>488</v>
      </c>
      <c r="U177">
        <v>889</v>
      </c>
      <c r="V177">
        <v>-0.79</v>
      </c>
      <c r="W177">
        <v>138.61600000000001</v>
      </c>
    </row>
    <row r="178" spans="1:23" x14ac:dyDescent="0.35">
      <c r="A178">
        <v>1034814900</v>
      </c>
      <c r="B178" t="s">
        <v>23</v>
      </c>
      <c r="C178">
        <v>2002</v>
      </c>
      <c r="D178">
        <v>10</v>
      </c>
      <c r="E178">
        <v>16</v>
      </c>
      <c r="F178">
        <v>14</v>
      </c>
      <c r="G178">
        <v>35</v>
      </c>
      <c r="H178" s="1">
        <f t="shared" si="2"/>
        <v>37545.607638888891</v>
      </c>
      <c r="I178">
        <v>110.448486</v>
      </c>
      <c r="J178">
        <v>-7.5680889999999996</v>
      </c>
      <c r="K178">
        <v>0.95599999999999996</v>
      </c>
      <c r="L178">
        <v>0.95199999999999996</v>
      </c>
      <c r="M178">
        <v>166.51400000000001</v>
      </c>
      <c r="N178">
        <v>8.1669999999999998</v>
      </c>
      <c r="O178">
        <v>7.6849999999999996</v>
      </c>
      <c r="P178">
        <v>62.22</v>
      </c>
      <c r="Q178">
        <v>82.51</v>
      </c>
      <c r="R178">
        <v>148.28</v>
      </c>
      <c r="S178">
        <v>-120.9</v>
      </c>
      <c r="T178">
        <v>61</v>
      </c>
      <c r="U178">
        <v>1327</v>
      </c>
      <c r="V178">
        <v>-0.78</v>
      </c>
      <c r="W178">
        <v>88.239000000000004</v>
      </c>
    </row>
    <row r="179" spans="1:23" x14ac:dyDescent="0.35">
      <c r="A179">
        <v>1035031500</v>
      </c>
      <c r="B179" t="s">
        <v>23</v>
      </c>
      <c r="C179">
        <v>2002</v>
      </c>
      <c r="D179">
        <v>10</v>
      </c>
      <c r="E179">
        <v>19</v>
      </c>
      <c r="F179">
        <v>2</v>
      </c>
      <c r="G179">
        <v>45</v>
      </c>
      <c r="H179" s="1">
        <f t="shared" si="2"/>
        <v>37548.114583333336</v>
      </c>
      <c r="I179">
        <v>110.413811</v>
      </c>
      <c r="J179">
        <v>-7.5709210000000002</v>
      </c>
      <c r="K179">
        <v>3.8940000000000001</v>
      </c>
      <c r="L179">
        <v>-10</v>
      </c>
      <c r="M179">
        <v>16.802</v>
      </c>
      <c r="N179">
        <v>10.776999999999999</v>
      </c>
      <c r="O179">
        <v>9.83</v>
      </c>
      <c r="P179">
        <v>35.81</v>
      </c>
      <c r="Q179">
        <v>98.78</v>
      </c>
      <c r="R179">
        <v>23.61</v>
      </c>
      <c r="S179">
        <v>97.23</v>
      </c>
      <c r="T179">
        <v>1365</v>
      </c>
      <c r="U179">
        <v>284</v>
      </c>
      <c r="V179">
        <v>-0.51100000000000001</v>
      </c>
      <c r="W179">
        <v>60.225000000000001</v>
      </c>
    </row>
    <row r="180" spans="1:23" x14ac:dyDescent="0.35">
      <c r="A180">
        <v>1147655400</v>
      </c>
      <c r="B180" t="s">
        <v>23</v>
      </c>
      <c r="C180">
        <v>2006</v>
      </c>
      <c r="D180">
        <v>5</v>
      </c>
      <c r="E180">
        <v>14</v>
      </c>
      <c r="F180">
        <v>15</v>
      </c>
      <c r="G180">
        <v>10</v>
      </c>
      <c r="H180" s="1">
        <f t="shared" si="2"/>
        <v>38851.631944444445</v>
      </c>
      <c r="I180">
        <v>110.446808</v>
      </c>
      <c r="J180">
        <v>-7.5466559999999996</v>
      </c>
      <c r="K180">
        <v>1.589</v>
      </c>
      <c r="L180">
        <v>1.542</v>
      </c>
      <c r="M180">
        <v>168.316</v>
      </c>
      <c r="N180">
        <v>7.4219999999999997</v>
      </c>
      <c r="O180">
        <v>7.1040000000000001</v>
      </c>
      <c r="P180">
        <v>4.22</v>
      </c>
      <c r="Q180">
        <v>83.65</v>
      </c>
      <c r="R180">
        <v>156.69999999999999</v>
      </c>
      <c r="S180">
        <v>-59.43</v>
      </c>
      <c r="T180">
        <v>87</v>
      </c>
      <c r="U180">
        <v>724</v>
      </c>
      <c r="V180">
        <v>-0.64300000000000002</v>
      </c>
      <c r="W180">
        <v>153.142</v>
      </c>
    </row>
    <row r="181" spans="1:23" x14ac:dyDescent="0.35">
      <c r="A181">
        <v>1147655400</v>
      </c>
      <c r="B181" t="s">
        <v>23</v>
      </c>
      <c r="C181">
        <v>2006</v>
      </c>
      <c r="D181">
        <v>5</v>
      </c>
      <c r="E181">
        <v>14</v>
      </c>
      <c r="F181">
        <v>15</v>
      </c>
      <c r="G181">
        <v>10</v>
      </c>
      <c r="H181" s="1">
        <f t="shared" si="2"/>
        <v>38851.631944444445</v>
      </c>
      <c r="I181">
        <v>110.44562500000001</v>
      </c>
      <c r="J181">
        <v>-7.5376890000000003</v>
      </c>
      <c r="K181">
        <v>1.819</v>
      </c>
      <c r="L181">
        <v>1.6419999999999999</v>
      </c>
      <c r="M181">
        <v>168.316</v>
      </c>
      <c r="N181">
        <v>7.3209999999999997</v>
      </c>
      <c r="O181">
        <v>7.0229999999999997</v>
      </c>
      <c r="P181">
        <v>4.22</v>
      </c>
      <c r="Q181">
        <v>84.86</v>
      </c>
      <c r="R181">
        <v>156.65</v>
      </c>
      <c r="S181">
        <v>-59.41</v>
      </c>
      <c r="T181">
        <v>88</v>
      </c>
      <c r="U181">
        <v>724</v>
      </c>
      <c r="V181">
        <v>-0.621</v>
      </c>
      <c r="W181">
        <v>153.09100000000001</v>
      </c>
    </row>
    <row r="182" spans="1:23" x14ac:dyDescent="0.35">
      <c r="A182">
        <v>1147665900</v>
      </c>
      <c r="B182" t="s">
        <v>22</v>
      </c>
      <c r="C182">
        <v>2006</v>
      </c>
      <c r="D182">
        <v>5</v>
      </c>
      <c r="E182">
        <v>14</v>
      </c>
      <c r="F182">
        <v>18</v>
      </c>
      <c r="G182">
        <v>5</v>
      </c>
      <c r="H182" s="1">
        <f t="shared" si="2"/>
        <v>38851.753472222219</v>
      </c>
      <c r="I182">
        <v>110.456001</v>
      </c>
      <c r="J182">
        <v>-7.54277</v>
      </c>
      <c r="K182">
        <v>0.91700000000000004</v>
      </c>
      <c r="L182">
        <v>0.99299999999999999</v>
      </c>
      <c r="M182">
        <v>177.20400000000001</v>
      </c>
      <c r="N182">
        <v>7.0750000000000002</v>
      </c>
      <c r="O182">
        <v>6.7370000000000001</v>
      </c>
      <c r="P182">
        <v>4.9800000000000004</v>
      </c>
      <c r="Q182">
        <v>-84.8</v>
      </c>
      <c r="R182">
        <v>154.41</v>
      </c>
      <c r="S182">
        <v>60.82</v>
      </c>
      <c r="T182">
        <v>1701</v>
      </c>
      <c r="U182">
        <v>732</v>
      </c>
      <c r="V182">
        <v>-0.74299999999999999</v>
      </c>
      <c r="W182">
        <v>151.09700000000001</v>
      </c>
    </row>
    <row r="183" spans="1:23" x14ac:dyDescent="0.35">
      <c r="A183">
        <v>1147665900</v>
      </c>
      <c r="B183" t="s">
        <v>22</v>
      </c>
      <c r="C183">
        <v>2006</v>
      </c>
      <c r="D183">
        <v>5</v>
      </c>
      <c r="E183">
        <v>14</v>
      </c>
      <c r="F183">
        <v>18</v>
      </c>
      <c r="G183">
        <v>5</v>
      </c>
      <c r="H183" s="1">
        <f t="shared" si="2"/>
        <v>38851.753472222219</v>
      </c>
      <c r="I183">
        <v>110.446815</v>
      </c>
      <c r="J183">
        <v>-7.5414380000000003</v>
      </c>
      <c r="K183">
        <v>2.4209999999999998</v>
      </c>
      <c r="L183">
        <v>-10</v>
      </c>
      <c r="M183">
        <v>177.20400000000001</v>
      </c>
      <c r="N183">
        <v>7.5250000000000004</v>
      </c>
      <c r="O183">
        <v>7.1859999999999999</v>
      </c>
      <c r="P183">
        <v>4.92</v>
      </c>
      <c r="Q183">
        <v>-84.86</v>
      </c>
      <c r="R183">
        <v>154.41</v>
      </c>
      <c r="S183">
        <v>60.81</v>
      </c>
      <c r="T183">
        <v>1701</v>
      </c>
      <c r="U183">
        <v>731</v>
      </c>
      <c r="V183">
        <v>-0.496</v>
      </c>
      <c r="W183">
        <v>151.15100000000001</v>
      </c>
    </row>
    <row r="184" spans="1:23" x14ac:dyDescent="0.35">
      <c r="A184">
        <v>1147838100</v>
      </c>
      <c r="B184" t="s">
        <v>22</v>
      </c>
      <c r="C184">
        <v>2006</v>
      </c>
      <c r="D184">
        <v>5</v>
      </c>
      <c r="E184">
        <v>16</v>
      </c>
      <c r="F184">
        <v>17</v>
      </c>
      <c r="G184">
        <v>55</v>
      </c>
      <c r="H184" s="1">
        <f t="shared" si="2"/>
        <v>38853.746527777781</v>
      </c>
      <c r="I184">
        <v>110.455574</v>
      </c>
      <c r="J184">
        <v>-7.5388719999999996</v>
      </c>
      <c r="K184">
        <v>0.879</v>
      </c>
      <c r="L184">
        <v>0.98299999999999998</v>
      </c>
      <c r="M184">
        <v>177.21299999999999</v>
      </c>
      <c r="N184">
        <v>7.3540000000000001</v>
      </c>
      <c r="O184">
        <v>6.9710000000000001</v>
      </c>
      <c r="P184">
        <v>23.84</v>
      </c>
      <c r="Q184">
        <v>99.06</v>
      </c>
      <c r="R184">
        <v>156.82</v>
      </c>
      <c r="S184">
        <v>57.18</v>
      </c>
      <c r="T184">
        <v>802</v>
      </c>
      <c r="U184">
        <v>413</v>
      </c>
      <c r="V184">
        <v>-0.753</v>
      </c>
      <c r="W184">
        <v>163.72</v>
      </c>
    </row>
    <row r="185" spans="1:23" x14ac:dyDescent="0.35">
      <c r="A185">
        <v>1147838100</v>
      </c>
      <c r="B185" t="s">
        <v>22</v>
      </c>
      <c r="C185">
        <v>2006</v>
      </c>
      <c r="D185">
        <v>5</v>
      </c>
      <c r="E185">
        <v>16</v>
      </c>
      <c r="F185">
        <v>17</v>
      </c>
      <c r="G185">
        <v>55</v>
      </c>
      <c r="H185" s="1">
        <f t="shared" si="2"/>
        <v>38853.746527777781</v>
      </c>
      <c r="I185">
        <v>110.445801</v>
      </c>
      <c r="J185">
        <v>-7.5373590000000004</v>
      </c>
      <c r="K185">
        <v>2.13</v>
      </c>
      <c r="L185">
        <v>2.0579999999999998</v>
      </c>
      <c r="M185">
        <v>177.21299999999999</v>
      </c>
      <c r="N185">
        <v>7.5270000000000001</v>
      </c>
      <c r="O185">
        <v>7.1989999999999998</v>
      </c>
      <c r="P185">
        <v>23.95</v>
      </c>
      <c r="Q185">
        <v>99.06</v>
      </c>
      <c r="R185">
        <v>156.88</v>
      </c>
      <c r="S185">
        <v>57.17</v>
      </c>
      <c r="T185">
        <v>802</v>
      </c>
      <c r="U185">
        <v>412</v>
      </c>
      <c r="V185">
        <v>-0.55500000000000005</v>
      </c>
      <c r="W185">
        <v>163.673</v>
      </c>
    </row>
    <row r="186" spans="1:23" x14ac:dyDescent="0.35">
      <c r="A186">
        <v>1147926900</v>
      </c>
      <c r="B186" t="s">
        <v>22</v>
      </c>
      <c r="C186">
        <v>2006</v>
      </c>
      <c r="D186">
        <v>5</v>
      </c>
      <c r="E186">
        <v>17</v>
      </c>
      <c r="F186">
        <v>18</v>
      </c>
      <c r="G186">
        <v>35</v>
      </c>
      <c r="H186" s="1">
        <f t="shared" si="2"/>
        <v>38854.774305555555</v>
      </c>
      <c r="I186">
        <v>110.464714</v>
      </c>
      <c r="J186">
        <v>-7.5489709999999999</v>
      </c>
      <c r="K186">
        <v>0.60499999999999998</v>
      </c>
      <c r="L186">
        <v>0.63300000000000001</v>
      </c>
      <c r="M186">
        <v>177.21799999999999</v>
      </c>
      <c r="N186">
        <v>5.8479999999999999</v>
      </c>
      <c r="O186">
        <v>5.5819999999999999</v>
      </c>
      <c r="P186">
        <v>57.3</v>
      </c>
      <c r="Q186">
        <v>-82.96</v>
      </c>
      <c r="R186">
        <v>147.36000000000001</v>
      </c>
      <c r="S186">
        <v>64.819999999999993</v>
      </c>
      <c r="T186">
        <v>1972</v>
      </c>
      <c r="U186">
        <v>1283</v>
      </c>
      <c r="V186">
        <v>-0.79600000000000004</v>
      </c>
      <c r="W186">
        <v>95.061999999999998</v>
      </c>
    </row>
    <row r="187" spans="1:23" x14ac:dyDescent="0.35">
      <c r="A187">
        <v>1148216100</v>
      </c>
      <c r="B187" t="s">
        <v>23</v>
      </c>
      <c r="C187">
        <v>2006</v>
      </c>
      <c r="D187">
        <v>5</v>
      </c>
      <c r="E187">
        <v>21</v>
      </c>
      <c r="F187">
        <v>2</v>
      </c>
      <c r="G187">
        <v>55</v>
      </c>
      <c r="H187" s="1">
        <f t="shared" si="2"/>
        <v>38858.121527777781</v>
      </c>
      <c r="I187">
        <v>110.447517</v>
      </c>
      <c r="J187">
        <v>-7.5437940000000001</v>
      </c>
      <c r="K187">
        <v>2.9740000000000002</v>
      </c>
      <c r="L187">
        <v>-10</v>
      </c>
      <c r="M187">
        <v>20.015000000000001</v>
      </c>
      <c r="N187">
        <v>7.4320000000000004</v>
      </c>
      <c r="O187">
        <v>6.992</v>
      </c>
      <c r="P187">
        <v>10.69</v>
      </c>
      <c r="Q187">
        <v>99.64</v>
      </c>
      <c r="R187">
        <v>36.380000000000003</v>
      </c>
      <c r="S187">
        <v>41.14</v>
      </c>
      <c r="T187">
        <v>1552</v>
      </c>
      <c r="U187">
        <v>558</v>
      </c>
      <c r="V187">
        <v>-0.53400000000000003</v>
      </c>
      <c r="W187">
        <v>43.396999999999998</v>
      </c>
    </row>
    <row r="188" spans="1:23" x14ac:dyDescent="0.35">
      <c r="A188">
        <v>1148443200</v>
      </c>
      <c r="B188" t="s">
        <v>22</v>
      </c>
      <c r="C188">
        <v>2006</v>
      </c>
      <c r="D188">
        <v>5</v>
      </c>
      <c r="E188">
        <v>23</v>
      </c>
      <c r="F188">
        <v>18</v>
      </c>
      <c r="G188">
        <v>0</v>
      </c>
      <c r="H188" s="1">
        <f t="shared" si="2"/>
        <v>38860.75</v>
      </c>
      <c r="I188">
        <v>110.453705</v>
      </c>
      <c r="J188">
        <v>-7.5462800000000003</v>
      </c>
      <c r="K188">
        <v>0.77500000000000002</v>
      </c>
      <c r="L188">
        <v>0.90800000000000003</v>
      </c>
      <c r="M188">
        <v>177.245</v>
      </c>
      <c r="N188">
        <v>7.3090000000000002</v>
      </c>
      <c r="O188">
        <v>6.9169999999999998</v>
      </c>
      <c r="P188">
        <v>10.07</v>
      </c>
      <c r="Q188">
        <v>95.8</v>
      </c>
      <c r="R188">
        <v>154.99</v>
      </c>
      <c r="S188">
        <v>55.29</v>
      </c>
      <c r="T188">
        <v>1299</v>
      </c>
      <c r="U188">
        <v>565</v>
      </c>
      <c r="V188">
        <v>-0.76800000000000002</v>
      </c>
      <c r="W188">
        <v>162.10499999999999</v>
      </c>
    </row>
    <row r="189" spans="1:23" x14ac:dyDescent="0.35">
      <c r="A189">
        <v>1148443200</v>
      </c>
      <c r="B189" t="s">
        <v>22</v>
      </c>
      <c r="C189">
        <v>2006</v>
      </c>
      <c r="D189">
        <v>5</v>
      </c>
      <c r="E189">
        <v>23</v>
      </c>
      <c r="F189">
        <v>18</v>
      </c>
      <c r="G189">
        <v>0</v>
      </c>
      <c r="H189" s="1">
        <f t="shared" si="2"/>
        <v>38860.75</v>
      </c>
      <c r="I189">
        <v>110.44472500000001</v>
      </c>
      <c r="J189">
        <v>-7.5449299999999999</v>
      </c>
      <c r="K189">
        <v>2.2719999999999998</v>
      </c>
      <c r="L189">
        <v>-10</v>
      </c>
      <c r="M189">
        <v>177.245</v>
      </c>
      <c r="N189">
        <v>7.46</v>
      </c>
      <c r="O189">
        <v>7.0540000000000003</v>
      </c>
      <c r="P189">
        <v>10.130000000000001</v>
      </c>
      <c r="Q189">
        <v>95.8</v>
      </c>
      <c r="R189">
        <v>154.99</v>
      </c>
      <c r="S189">
        <v>55.27</v>
      </c>
      <c r="T189">
        <v>1299</v>
      </c>
      <c r="U189">
        <v>564</v>
      </c>
      <c r="V189">
        <v>-0.51300000000000001</v>
      </c>
      <c r="W189">
        <v>162.137</v>
      </c>
    </row>
    <row r="190" spans="1:23" x14ac:dyDescent="0.35">
      <c r="A190">
        <v>1148443200</v>
      </c>
      <c r="B190" t="s">
        <v>22</v>
      </c>
      <c r="C190">
        <v>2006</v>
      </c>
      <c r="D190">
        <v>5</v>
      </c>
      <c r="E190">
        <v>23</v>
      </c>
      <c r="F190">
        <v>18</v>
      </c>
      <c r="G190">
        <v>0</v>
      </c>
      <c r="H190" s="1">
        <f t="shared" si="2"/>
        <v>38860.75</v>
      </c>
      <c r="I190">
        <v>110.44620500000001</v>
      </c>
      <c r="J190">
        <v>-7.5358859999999996</v>
      </c>
      <c r="K190">
        <v>1.1870000000000001</v>
      </c>
      <c r="L190">
        <v>1.095</v>
      </c>
      <c r="M190">
        <v>177.245</v>
      </c>
      <c r="N190">
        <v>7.2960000000000003</v>
      </c>
      <c r="O190">
        <v>6.93</v>
      </c>
      <c r="P190">
        <v>10.130000000000001</v>
      </c>
      <c r="Q190">
        <v>96.31</v>
      </c>
      <c r="R190">
        <v>154.99</v>
      </c>
      <c r="S190">
        <v>55.26</v>
      </c>
      <c r="T190">
        <v>1298</v>
      </c>
      <c r="U190">
        <v>564</v>
      </c>
      <c r="V190">
        <v>-0.72699999999999998</v>
      </c>
      <c r="W190">
        <v>162.04900000000001</v>
      </c>
    </row>
    <row r="191" spans="1:23" x14ac:dyDescent="0.35">
      <c r="A191">
        <v>1148532300</v>
      </c>
      <c r="B191" t="s">
        <v>22</v>
      </c>
      <c r="C191">
        <v>2006</v>
      </c>
      <c r="D191">
        <v>5</v>
      </c>
      <c r="E191">
        <v>24</v>
      </c>
      <c r="F191">
        <v>18</v>
      </c>
      <c r="G191">
        <v>45</v>
      </c>
      <c r="H191" s="1">
        <f t="shared" si="2"/>
        <v>38861.78125</v>
      </c>
      <c r="I191">
        <v>110.450081</v>
      </c>
      <c r="J191">
        <v>-7.5419289999999997</v>
      </c>
      <c r="K191">
        <v>0.95799999999999996</v>
      </c>
      <c r="L191">
        <v>0.90200000000000002</v>
      </c>
      <c r="M191">
        <v>177.249</v>
      </c>
      <c r="N191">
        <v>7.226</v>
      </c>
      <c r="O191">
        <v>6.79</v>
      </c>
      <c r="P191">
        <v>62.22</v>
      </c>
      <c r="Q191">
        <v>-82.62</v>
      </c>
      <c r="R191">
        <v>145.65</v>
      </c>
      <c r="S191">
        <v>63.59</v>
      </c>
      <c r="T191">
        <v>427</v>
      </c>
      <c r="U191">
        <v>1330</v>
      </c>
      <c r="V191">
        <v>-0.76500000000000001</v>
      </c>
      <c r="W191">
        <v>88.501000000000005</v>
      </c>
    </row>
    <row r="192" spans="1:23" x14ac:dyDescent="0.35">
      <c r="A192">
        <v>1148615400</v>
      </c>
      <c r="B192" t="s">
        <v>22</v>
      </c>
      <c r="C192">
        <v>2006</v>
      </c>
      <c r="D192">
        <v>5</v>
      </c>
      <c r="E192">
        <v>25</v>
      </c>
      <c r="F192">
        <v>17</v>
      </c>
      <c r="G192">
        <v>50</v>
      </c>
      <c r="H192" s="1">
        <f t="shared" si="2"/>
        <v>38862.743055555555</v>
      </c>
      <c r="I192">
        <v>110.44967699999999</v>
      </c>
      <c r="J192">
        <v>-7.5408080000000002</v>
      </c>
      <c r="K192">
        <v>0.77100000000000002</v>
      </c>
      <c r="L192">
        <v>0.77500000000000002</v>
      </c>
      <c r="M192">
        <v>177.251</v>
      </c>
      <c r="N192">
        <v>7.2450000000000001</v>
      </c>
      <c r="O192">
        <v>6.891</v>
      </c>
      <c r="P192">
        <v>35.81</v>
      </c>
      <c r="Q192">
        <v>98.26</v>
      </c>
      <c r="R192">
        <v>157.28</v>
      </c>
      <c r="S192">
        <v>51.35</v>
      </c>
      <c r="T192">
        <v>398</v>
      </c>
      <c r="U192">
        <v>285</v>
      </c>
      <c r="V192">
        <v>-0.79800000000000004</v>
      </c>
      <c r="W192">
        <v>154.45500000000001</v>
      </c>
    </row>
    <row r="193" spans="1:23" x14ac:dyDescent="0.35">
      <c r="A193">
        <v>1148693400</v>
      </c>
      <c r="B193" t="s">
        <v>23</v>
      </c>
      <c r="C193">
        <v>2006</v>
      </c>
      <c r="D193">
        <v>5</v>
      </c>
      <c r="E193">
        <v>26</v>
      </c>
      <c r="F193">
        <v>15</v>
      </c>
      <c r="G193">
        <v>30</v>
      </c>
      <c r="H193" s="1">
        <f t="shared" si="2"/>
        <v>38863.645833333336</v>
      </c>
      <c r="I193">
        <v>110.43309000000001</v>
      </c>
      <c r="J193">
        <v>-7.5470540000000002</v>
      </c>
      <c r="K193">
        <v>0.89300000000000002</v>
      </c>
      <c r="L193">
        <v>0.98799999999999999</v>
      </c>
      <c r="M193">
        <v>168.316</v>
      </c>
      <c r="N193">
        <v>7.5119999999999996</v>
      </c>
      <c r="O193">
        <v>7.0960000000000001</v>
      </c>
      <c r="P193">
        <v>45.43</v>
      </c>
      <c r="Q193">
        <v>-98.78</v>
      </c>
      <c r="R193">
        <v>159.97</v>
      </c>
      <c r="S193">
        <v>-47.45</v>
      </c>
      <c r="T193">
        <v>1893</v>
      </c>
      <c r="U193">
        <v>185</v>
      </c>
      <c r="V193">
        <v>-0.75600000000000001</v>
      </c>
      <c r="W193">
        <v>144.506</v>
      </c>
    </row>
    <row r="194" spans="1:23" x14ac:dyDescent="0.35">
      <c r="A194">
        <v>1148693400</v>
      </c>
      <c r="B194" t="s">
        <v>23</v>
      </c>
      <c r="C194">
        <v>2006</v>
      </c>
      <c r="D194">
        <v>5</v>
      </c>
      <c r="E194">
        <v>26</v>
      </c>
      <c r="F194">
        <v>15</v>
      </c>
      <c r="G194">
        <v>30</v>
      </c>
      <c r="H194" s="1">
        <f t="shared" ref="H194:H257" si="3">(A194+2209125600)/86400</f>
        <v>38863.645833333336</v>
      </c>
      <c r="I194">
        <v>110.44508399999999</v>
      </c>
      <c r="J194">
        <v>-7.5451730000000001</v>
      </c>
      <c r="K194">
        <v>1.242</v>
      </c>
      <c r="L194">
        <v>1.2370000000000001</v>
      </c>
      <c r="M194">
        <v>168.316</v>
      </c>
      <c r="N194">
        <v>7.2839999999999998</v>
      </c>
      <c r="O194">
        <v>6.9249999999999998</v>
      </c>
      <c r="P194">
        <v>45.43</v>
      </c>
      <c r="Q194">
        <v>-98.78</v>
      </c>
      <c r="R194">
        <v>160.03</v>
      </c>
      <c r="S194">
        <v>-47.42</v>
      </c>
      <c r="T194">
        <v>1893</v>
      </c>
      <c r="U194">
        <v>184</v>
      </c>
      <c r="V194">
        <v>-0.69699999999999995</v>
      </c>
      <c r="W194">
        <v>144.49600000000001</v>
      </c>
    </row>
    <row r="195" spans="1:23" x14ac:dyDescent="0.35">
      <c r="A195">
        <v>1148704200</v>
      </c>
      <c r="B195" t="s">
        <v>22</v>
      </c>
      <c r="C195">
        <v>2006</v>
      </c>
      <c r="D195">
        <v>5</v>
      </c>
      <c r="E195">
        <v>26</v>
      </c>
      <c r="F195">
        <v>18</v>
      </c>
      <c r="G195">
        <v>30</v>
      </c>
      <c r="H195" s="1">
        <f t="shared" si="3"/>
        <v>38863.770833333336</v>
      </c>
      <c r="I195">
        <v>110.446533</v>
      </c>
      <c r="J195">
        <v>-7.5426770000000003</v>
      </c>
      <c r="K195">
        <v>0.89900000000000002</v>
      </c>
      <c r="L195">
        <v>0.89900000000000002</v>
      </c>
      <c r="M195">
        <v>177.25299999999999</v>
      </c>
      <c r="N195">
        <v>7.0679999999999996</v>
      </c>
      <c r="O195">
        <v>6.6619999999999999</v>
      </c>
      <c r="P195">
        <v>50.36</v>
      </c>
      <c r="Q195">
        <v>-81.93</v>
      </c>
      <c r="R195">
        <v>148.28</v>
      </c>
      <c r="S195">
        <v>60.7</v>
      </c>
      <c r="T195">
        <v>1559</v>
      </c>
      <c r="U195">
        <v>1219</v>
      </c>
      <c r="V195">
        <v>-0.76200000000000001</v>
      </c>
      <c r="W195">
        <v>103.503</v>
      </c>
    </row>
    <row r="196" spans="1:23" x14ac:dyDescent="0.35">
      <c r="A196">
        <v>1148704200</v>
      </c>
      <c r="B196" t="s">
        <v>22</v>
      </c>
      <c r="C196">
        <v>2006</v>
      </c>
      <c r="D196">
        <v>5</v>
      </c>
      <c r="E196">
        <v>26</v>
      </c>
      <c r="F196">
        <v>18</v>
      </c>
      <c r="G196">
        <v>30</v>
      </c>
      <c r="H196" s="1">
        <f t="shared" si="3"/>
        <v>38863.770833333336</v>
      </c>
      <c r="I196">
        <v>110.467331</v>
      </c>
      <c r="J196">
        <v>-7.5420889999999998</v>
      </c>
      <c r="K196">
        <v>0.75</v>
      </c>
      <c r="L196">
        <v>0.77800000000000002</v>
      </c>
      <c r="M196">
        <v>177.25299999999999</v>
      </c>
      <c r="N196">
        <v>7.0270000000000001</v>
      </c>
      <c r="O196">
        <v>6.6210000000000004</v>
      </c>
      <c r="P196">
        <v>50.58</v>
      </c>
      <c r="Q196">
        <v>-82.79</v>
      </c>
      <c r="R196">
        <v>148.28</v>
      </c>
      <c r="S196">
        <v>60.72</v>
      </c>
      <c r="T196">
        <v>1562</v>
      </c>
      <c r="U196">
        <v>1220</v>
      </c>
      <c r="V196">
        <v>-0.79</v>
      </c>
      <c r="W196">
        <v>103.062</v>
      </c>
    </row>
    <row r="197" spans="1:23" x14ac:dyDescent="0.35">
      <c r="A197">
        <v>1148876400</v>
      </c>
      <c r="B197" t="s">
        <v>22</v>
      </c>
      <c r="C197">
        <v>2006</v>
      </c>
      <c r="D197">
        <v>5</v>
      </c>
      <c r="E197">
        <v>28</v>
      </c>
      <c r="F197">
        <v>18</v>
      </c>
      <c r="G197">
        <v>20</v>
      </c>
      <c r="H197" s="1">
        <f t="shared" si="3"/>
        <v>38865.763888888891</v>
      </c>
      <c r="I197">
        <v>110.45240800000001</v>
      </c>
      <c r="J197">
        <v>-7.5479010000000004</v>
      </c>
      <c r="K197">
        <v>0.76400000000000001</v>
      </c>
      <c r="L197">
        <v>0.74</v>
      </c>
      <c r="M197">
        <v>177.256</v>
      </c>
      <c r="N197">
        <v>6.0819999999999999</v>
      </c>
      <c r="O197">
        <v>5.7039999999999997</v>
      </c>
      <c r="P197">
        <v>31.78</v>
      </c>
      <c r="Q197">
        <v>-81.99</v>
      </c>
      <c r="R197">
        <v>150.80000000000001</v>
      </c>
      <c r="S197">
        <v>58.2</v>
      </c>
      <c r="T197">
        <v>655</v>
      </c>
      <c r="U197">
        <v>1027</v>
      </c>
      <c r="V197">
        <v>-0.77</v>
      </c>
      <c r="W197">
        <v>123.34699999999999</v>
      </c>
    </row>
    <row r="198" spans="1:23" x14ac:dyDescent="0.35">
      <c r="A198">
        <v>1148876400</v>
      </c>
      <c r="B198" t="s">
        <v>22</v>
      </c>
      <c r="C198">
        <v>2006</v>
      </c>
      <c r="D198">
        <v>5</v>
      </c>
      <c r="E198">
        <v>28</v>
      </c>
      <c r="F198">
        <v>18</v>
      </c>
      <c r="G198">
        <v>20</v>
      </c>
      <c r="H198" s="1">
        <f t="shared" si="3"/>
        <v>38865.763888888891</v>
      </c>
      <c r="I198">
        <v>110.452232</v>
      </c>
      <c r="J198">
        <v>-7.5373330000000003</v>
      </c>
      <c r="K198">
        <v>1.589</v>
      </c>
      <c r="L198">
        <v>1.581</v>
      </c>
      <c r="M198">
        <v>177.256</v>
      </c>
      <c r="N198">
        <v>6.0549999999999997</v>
      </c>
      <c r="O198">
        <v>5.7</v>
      </c>
      <c r="P198">
        <v>31.78</v>
      </c>
      <c r="Q198">
        <v>-82.16</v>
      </c>
      <c r="R198">
        <v>150.80000000000001</v>
      </c>
      <c r="S198">
        <v>58.18</v>
      </c>
      <c r="T198">
        <v>654</v>
      </c>
      <c r="U198">
        <v>1027</v>
      </c>
      <c r="V198">
        <v>-0.56599999999999995</v>
      </c>
      <c r="W198">
        <v>123.312</v>
      </c>
    </row>
    <row r="199" spans="1:23" x14ac:dyDescent="0.35">
      <c r="A199">
        <v>1148959500</v>
      </c>
      <c r="B199" t="s">
        <v>22</v>
      </c>
      <c r="C199">
        <v>2006</v>
      </c>
      <c r="D199">
        <v>5</v>
      </c>
      <c r="E199">
        <v>29</v>
      </c>
      <c r="F199">
        <v>17</v>
      </c>
      <c r="G199">
        <v>25</v>
      </c>
      <c r="H199" s="1">
        <f t="shared" si="3"/>
        <v>38866.725694444445</v>
      </c>
      <c r="I199">
        <v>110.46038799999999</v>
      </c>
      <c r="J199">
        <v>-7.5460700000000003</v>
      </c>
      <c r="K199">
        <v>0.80600000000000005</v>
      </c>
      <c r="L199">
        <v>0.84299999999999997</v>
      </c>
      <c r="M199">
        <v>177.25800000000001</v>
      </c>
      <c r="N199">
        <v>6.516</v>
      </c>
      <c r="O199">
        <v>6.0979999999999999</v>
      </c>
      <c r="P199">
        <v>64.010000000000005</v>
      </c>
      <c r="Q199">
        <v>99.69</v>
      </c>
      <c r="R199">
        <v>161.29</v>
      </c>
      <c r="S199">
        <v>38.85</v>
      </c>
      <c r="T199">
        <v>635</v>
      </c>
      <c r="U199">
        <v>11</v>
      </c>
      <c r="V199">
        <v>-0.75700000000000001</v>
      </c>
      <c r="W199">
        <v>123.673</v>
      </c>
    </row>
    <row r="200" spans="1:23" x14ac:dyDescent="0.35">
      <c r="A200">
        <v>1148959500</v>
      </c>
      <c r="B200" t="s">
        <v>22</v>
      </c>
      <c r="C200">
        <v>2006</v>
      </c>
      <c r="D200">
        <v>5</v>
      </c>
      <c r="E200">
        <v>29</v>
      </c>
      <c r="F200">
        <v>17</v>
      </c>
      <c r="G200">
        <v>25</v>
      </c>
      <c r="H200" s="1">
        <f t="shared" si="3"/>
        <v>38866.725694444445</v>
      </c>
      <c r="I200">
        <v>110.45470400000001</v>
      </c>
      <c r="J200">
        <v>-7.5459230000000002</v>
      </c>
      <c r="K200">
        <v>0.78800000000000003</v>
      </c>
      <c r="L200">
        <v>0.96699999999999997</v>
      </c>
      <c r="M200">
        <v>177.25800000000001</v>
      </c>
      <c r="N200">
        <v>6.6479999999999997</v>
      </c>
      <c r="O200">
        <v>6.22</v>
      </c>
      <c r="P200">
        <v>64.010000000000005</v>
      </c>
      <c r="Q200">
        <v>100.21</v>
      </c>
      <c r="R200">
        <v>161.29</v>
      </c>
      <c r="S200">
        <v>38.840000000000003</v>
      </c>
      <c r="T200">
        <v>640</v>
      </c>
      <c r="U200">
        <v>11</v>
      </c>
      <c r="V200">
        <v>-0.73099999999999998</v>
      </c>
      <c r="W200">
        <v>123.514</v>
      </c>
    </row>
    <row r="201" spans="1:23" x14ac:dyDescent="0.35">
      <c r="A201">
        <v>1148993400</v>
      </c>
      <c r="B201" t="s">
        <v>23</v>
      </c>
      <c r="C201">
        <v>2006</v>
      </c>
      <c r="D201">
        <v>5</v>
      </c>
      <c r="E201">
        <v>30</v>
      </c>
      <c r="F201">
        <v>2</v>
      </c>
      <c r="G201">
        <v>50</v>
      </c>
      <c r="H201" s="1">
        <f t="shared" si="3"/>
        <v>38867.118055555555</v>
      </c>
      <c r="I201">
        <v>110.447456</v>
      </c>
      <c r="J201">
        <v>-7.5473610000000004</v>
      </c>
      <c r="K201">
        <v>3.145</v>
      </c>
      <c r="L201">
        <v>-10</v>
      </c>
      <c r="M201">
        <v>17.667999999999999</v>
      </c>
      <c r="N201">
        <v>8.3179999999999996</v>
      </c>
      <c r="O201">
        <v>7.7619999999999996</v>
      </c>
      <c r="P201">
        <v>24.51</v>
      </c>
      <c r="Q201">
        <v>99.41</v>
      </c>
      <c r="R201">
        <v>38.67</v>
      </c>
      <c r="S201">
        <v>40.94</v>
      </c>
      <c r="T201">
        <v>1121</v>
      </c>
      <c r="U201">
        <v>407</v>
      </c>
      <c r="V201">
        <v>-0.52900000000000003</v>
      </c>
      <c r="W201">
        <v>55.298000000000002</v>
      </c>
    </row>
    <row r="202" spans="1:23" x14ac:dyDescent="0.35">
      <c r="A202">
        <v>1149037800</v>
      </c>
      <c r="B202" t="s">
        <v>23</v>
      </c>
      <c r="C202">
        <v>2006</v>
      </c>
      <c r="D202">
        <v>5</v>
      </c>
      <c r="E202">
        <v>30</v>
      </c>
      <c r="F202">
        <v>15</v>
      </c>
      <c r="G202">
        <v>10</v>
      </c>
      <c r="H202" s="1">
        <f t="shared" si="3"/>
        <v>38867.631944444445</v>
      </c>
      <c r="I202">
        <v>110.443077</v>
      </c>
      <c r="J202">
        <v>-7.5412090000000003</v>
      </c>
      <c r="K202">
        <v>5.2770000000000001</v>
      </c>
      <c r="L202">
        <v>-10</v>
      </c>
      <c r="M202">
        <v>168.316</v>
      </c>
      <c r="N202">
        <v>8.2289999999999992</v>
      </c>
      <c r="O202">
        <v>7.7240000000000002</v>
      </c>
      <c r="P202">
        <v>4.34</v>
      </c>
      <c r="Q202">
        <v>75.290000000000006</v>
      </c>
      <c r="R202">
        <v>154.93</v>
      </c>
      <c r="S202">
        <v>-53.08</v>
      </c>
      <c r="T202">
        <v>90</v>
      </c>
      <c r="U202">
        <v>725</v>
      </c>
      <c r="V202">
        <v>-0.188</v>
      </c>
      <c r="W202">
        <v>152.001</v>
      </c>
    </row>
    <row r="203" spans="1:23" x14ac:dyDescent="0.35">
      <c r="A203">
        <v>1149037800</v>
      </c>
      <c r="B203" t="s">
        <v>23</v>
      </c>
      <c r="C203">
        <v>2006</v>
      </c>
      <c r="D203">
        <v>5</v>
      </c>
      <c r="E203">
        <v>30</v>
      </c>
      <c r="F203">
        <v>15</v>
      </c>
      <c r="G203">
        <v>10</v>
      </c>
      <c r="H203" s="1">
        <f t="shared" si="3"/>
        <v>38867.631944444445</v>
      </c>
      <c r="I203">
        <v>110.452095</v>
      </c>
      <c r="J203">
        <v>-7.5399260000000004</v>
      </c>
      <c r="K203">
        <v>1.6990000000000001</v>
      </c>
      <c r="L203">
        <v>1.1990000000000001</v>
      </c>
      <c r="M203">
        <v>168.316</v>
      </c>
      <c r="N203">
        <v>7.5490000000000004</v>
      </c>
      <c r="O203">
        <v>7.2290000000000001</v>
      </c>
      <c r="P203">
        <v>4.28</v>
      </c>
      <c r="Q203">
        <v>75.17</v>
      </c>
      <c r="R203">
        <v>154.93</v>
      </c>
      <c r="S203">
        <v>-53.07</v>
      </c>
      <c r="T203">
        <v>90</v>
      </c>
      <c r="U203">
        <v>724</v>
      </c>
      <c r="V203">
        <v>-0.71499999999999997</v>
      </c>
      <c r="W203">
        <v>152.053</v>
      </c>
    </row>
    <row r="204" spans="1:23" x14ac:dyDescent="0.35">
      <c r="A204">
        <v>1149048300</v>
      </c>
      <c r="B204" t="s">
        <v>22</v>
      </c>
      <c r="C204">
        <v>2006</v>
      </c>
      <c r="D204">
        <v>5</v>
      </c>
      <c r="E204">
        <v>30</v>
      </c>
      <c r="F204">
        <v>18</v>
      </c>
      <c r="G204">
        <v>5</v>
      </c>
      <c r="H204" s="1">
        <f t="shared" si="3"/>
        <v>38867.753472222219</v>
      </c>
      <c r="I204">
        <v>110.455406</v>
      </c>
      <c r="J204">
        <v>-7.5457640000000001</v>
      </c>
      <c r="K204">
        <v>1.048</v>
      </c>
      <c r="L204">
        <v>1.4990000000000001</v>
      </c>
      <c r="M204">
        <v>177.26</v>
      </c>
      <c r="N204">
        <v>7.8079999999999998</v>
      </c>
      <c r="O204">
        <v>7.3170000000000002</v>
      </c>
      <c r="P204">
        <v>4.92</v>
      </c>
      <c r="Q204">
        <v>-85.89</v>
      </c>
      <c r="R204">
        <v>153.27000000000001</v>
      </c>
      <c r="S204">
        <v>54.03</v>
      </c>
      <c r="T204">
        <v>1780</v>
      </c>
      <c r="U204">
        <v>731</v>
      </c>
      <c r="V204">
        <v>-0.66</v>
      </c>
      <c r="W204">
        <v>150.25299999999999</v>
      </c>
    </row>
    <row r="205" spans="1:23" x14ac:dyDescent="0.35">
      <c r="A205">
        <v>1149048300</v>
      </c>
      <c r="B205" t="s">
        <v>22</v>
      </c>
      <c r="C205">
        <v>2006</v>
      </c>
      <c r="D205">
        <v>5</v>
      </c>
      <c r="E205">
        <v>30</v>
      </c>
      <c r="F205">
        <v>18</v>
      </c>
      <c r="G205">
        <v>5</v>
      </c>
      <c r="H205" s="1">
        <f t="shared" si="3"/>
        <v>38867.753472222219</v>
      </c>
      <c r="I205">
        <v>110.446236</v>
      </c>
      <c r="J205">
        <v>-7.5444380000000004</v>
      </c>
      <c r="K205">
        <v>3.0870000000000002</v>
      </c>
      <c r="L205">
        <v>-10</v>
      </c>
      <c r="M205">
        <v>177.26</v>
      </c>
      <c r="N205">
        <v>8.1270000000000007</v>
      </c>
      <c r="O205">
        <v>7.6890000000000001</v>
      </c>
      <c r="P205">
        <v>4.8099999999999996</v>
      </c>
      <c r="Q205">
        <v>-85.94</v>
      </c>
      <c r="R205">
        <v>153.27000000000001</v>
      </c>
      <c r="S205">
        <v>54.02</v>
      </c>
      <c r="T205">
        <v>1780</v>
      </c>
      <c r="U205">
        <v>730</v>
      </c>
      <c r="V205">
        <v>-0.42699999999999999</v>
      </c>
      <c r="W205">
        <v>150.34899999999999</v>
      </c>
    </row>
    <row r="206" spans="1:23" x14ac:dyDescent="0.35">
      <c r="A206">
        <v>1149209700</v>
      </c>
      <c r="B206" t="s">
        <v>23</v>
      </c>
      <c r="C206">
        <v>2006</v>
      </c>
      <c r="D206">
        <v>6</v>
      </c>
      <c r="E206">
        <v>1</v>
      </c>
      <c r="F206">
        <v>14</v>
      </c>
      <c r="G206">
        <v>55</v>
      </c>
      <c r="H206" s="1">
        <f t="shared" si="3"/>
        <v>38869.621527777781</v>
      </c>
      <c r="I206">
        <v>110.44059799999999</v>
      </c>
      <c r="J206">
        <v>-7.5445710000000004</v>
      </c>
      <c r="K206">
        <v>3.1509999999999998</v>
      </c>
      <c r="L206">
        <v>-10</v>
      </c>
      <c r="M206">
        <v>168.316</v>
      </c>
      <c r="N206">
        <v>6.907</v>
      </c>
      <c r="O206">
        <v>6.43</v>
      </c>
      <c r="P206">
        <v>31.56</v>
      </c>
      <c r="Q206">
        <v>81.93</v>
      </c>
      <c r="R206">
        <v>152.29</v>
      </c>
      <c r="S206">
        <v>-56.39</v>
      </c>
      <c r="T206">
        <v>1214</v>
      </c>
      <c r="U206">
        <v>1023</v>
      </c>
      <c r="V206">
        <v>-0.34200000000000003</v>
      </c>
      <c r="W206">
        <v>124.355</v>
      </c>
    </row>
    <row r="207" spans="1:23" x14ac:dyDescent="0.35">
      <c r="A207">
        <v>1149209700</v>
      </c>
      <c r="B207" t="s">
        <v>23</v>
      </c>
      <c r="C207">
        <v>2006</v>
      </c>
      <c r="D207">
        <v>6</v>
      </c>
      <c r="E207">
        <v>1</v>
      </c>
      <c r="F207">
        <v>14</v>
      </c>
      <c r="G207">
        <v>55</v>
      </c>
      <c r="H207" s="1">
        <f t="shared" si="3"/>
        <v>38869.621527777781</v>
      </c>
      <c r="I207">
        <v>110.453194</v>
      </c>
      <c r="J207">
        <v>-7.542859</v>
      </c>
      <c r="K207">
        <v>1.0149999999999999</v>
      </c>
      <c r="L207">
        <v>0.86499999999999999</v>
      </c>
      <c r="M207">
        <v>168.316</v>
      </c>
      <c r="N207">
        <v>6.7240000000000002</v>
      </c>
      <c r="O207">
        <v>6.3819999999999997</v>
      </c>
      <c r="P207">
        <v>31.33</v>
      </c>
      <c r="Q207">
        <v>81.93</v>
      </c>
      <c r="R207">
        <v>152.29</v>
      </c>
      <c r="S207">
        <v>-56.38</v>
      </c>
      <c r="T207">
        <v>1214</v>
      </c>
      <c r="U207">
        <v>1022</v>
      </c>
      <c r="V207">
        <v>-0.76100000000000001</v>
      </c>
      <c r="W207">
        <v>124.57299999999999</v>
      </c>
    </row>
    <row r="208" spans="1:23" x14ac:dyDescent="0.35">
      <c r="A208">
        <v>1149220500</v>
      </c>
      <c r="B208" t="s">
        <v>22</v>
      </c>
      <c r="C208">
        <v>2006</v>
      </c>
      <c r="D208">
        <v>6</v>
      </c>
      <c r="E208">
        <v>1</v>
      </c>
      <c r="F208">
        <v>17</v>
      </c>
      <c r="G208">
        <v>55</v>
      </c>
      <c r="H208" s="1">
        <f t="shared" si="3"/>
        <v>38869.746527777781</v>
      </c>
      <c r="I208">
        <v>110.448364</v>
      </c>
      <c r="J208">
        <v>-7.5450689999999998</v>
      </c>
      <c r="K208">
        <v>1.357</v>
      </c>
      <c r="L208">
        <v>1.403</v>
      </c>
      <c r="M208">
        <v>177.26300000000001</v>
      </c>
      <c r="N208">
        <v>5.0629999999999997</v>
      </c>
      <c r="O208">
        <v>4.7060000000000004</v>
      </c>
      <c r="P208">
        <v>24.06</v>
      </c>
      <c r="Q208">
        <v>97.98</v>
      </c>
      <c r="R208">
        <v>155.62</v>
      </c>
      <c r="S208">
        <v>50.43</v>
      </c>
      <c r="T208">
        <v>877</v>
      </c>
      <c r="U208">
        <v>411</v>
      </c>
      <c r="V208">
        <v>-0.54100000000000004</v>
      </c>
      <c r="W208">
        <v>161.12200000000001</v>
      </c>
    </row>
    <row r="209" spans="1:23" x14ac:dyDescent="0.35">
      <c r="A209">
        <v>1149220500</v>
      </c>
      <c r="B209" t="s">
        <v>22</v>
      </c>
      <c r="C209">
        <v>2006</v>
      </c>
      <c r="D209">
        <v>6</v>
      </c>
      <c r="E209">
        <v>1</v>
      </c>
      <c r="F209">
        <v>17</v>
      </c>
      <c r="G209">
        <v>55</v>
      </c>
      <c r="H209" s="1">
        <f t="shared" si="3"/>
        <v>38869.746527777781</v>
      </c>
      <c r="I209">
        <v>110.436295</v>
      </c>
      <c r="J209">
        <v>-7.5432490000000003</v>
      </c>
      <c r="K209">
        <v>0.67</v>
      </c>
      <c r="L209">
        <v>0.63200000000000001</v>
      </c>
      <c r="M209">
        <v>177.26300000000001</v>
      </c>
      <c r="N209">
        <v>4.8929999999999998</v>
      </c>
      <c r="O209">
        <v>4.5830000000000002</v>
      </c>
      <c r="P209">
        <v>24.17</v>
      </c>
      <c r="Q209">
        <v>97.98</v>
      </c>
      <c r="R209">
        <v>155.62</v>
      </c>
      <c r="S209">
        <v>50.41</v>
      </c>
      <c r="T209">
        <v>877</v>
      </c>
      <c r="U209">
        <v>410</v>
      </c>
      <c r="V209">
        <v>-0.75800000000000001</v>
      </c>
      <c r="W209">
        <v>161.07499999999999</v>
      </c>
    </row>
    <row r="210" spans="1:23" x14ac:dyDescent="0.35">
      <c r="A210">
        <v>1149220500</v>
      </c>
      <c r="B210" t="s">
        <v>22</v>
      </c>
      <c r="C210">
        <v>2006</v>
      </c>
      <c r="D210">
        <v>6</v>
      </c>
      <c r="E210">
        <v>1</v>
      </c>
      <c r="F210">
        <v>17</v>
      </c>
      <c r="G210">
        <v>55</v>
      </c>
      <c r="H210" s="1">
        <f t="shared" si="3"/>
        <v>38869.746527777781</v>
      </c>
      <c r="I210">
        <v>110.45001999999999</v>
      </c>
      <c r="J210">
        <v>-7.5354099999999997</v>
      </c>
      <c r="K210">
        <v>0.67</v>
      </c>
      <c r="L210">
        <v>0.65200000000000002</v>
      </c>
      <c r="M210">
        <v>177.26300000000001</v>
      </c>
      <c r="N210">
        <v>4.9249999999999998</v>
      </c>
      <c r="O210">
        <v>4.6559999999999997</v>
      </c>
      <c r="P210">
        <v>24.06</v>
      </c>
      <c r="Q210">
        <v>98.2</v>
      </c>
      <c r="R210">
        <v>155.62</v>
      </c>
      <c r="S210">
        <v>50.41</v>
      </c>
      <c r="T210">
        <v>876</v>
      </c>
      <c r="U210">
        <v>411</v>
      </c>
      <c r="V210">
        <v>-0.754</v>
      </c>
      <c r="W210">
        <v>161.02699999999999</v>
      </c>
    </row>
    <row r="211" spans="1:23" x14ac:dyDescent="0.35">
      <c r="A211">
        <v>1149298800</v>
      </c>
      <c r="B211" t="s">
        <v>23</v>
      </c>
      <c r="C211">
        <v>2006</v>
      </c>
      <c r="D211">
        <v>6</v>
      </c>
      <c r="E211">
        <v>2</v>
      </c>
      <c r="F211">
        <v>15</v>
      </c>
      <c r="G211">
        <v>40</v>
      </c>
      <c r="H211" s="1">
        <f t="shared" si="3"/>
        <v>38870.652777777781</v>
      </c>
      <c r="I211">
        <v>110.440994</v>
      </c>
      <c r="J211">
        <v>-7.5484030000000004</v>
      </c>
      <c r="K211">
        <v>2.597</v>
      </c>
      <c r="L211">
        <v>-10</v>
      </c>
      <c r="M211">
        <v>168.316</v>
      </c>
      <c r="N211">
        <v>6.5270000000000001</v>
      </c>
      <c r="O211">
        <v>6.1580000000000004</v>
      </c>
      <c r="P211">
        <v>53.04</v>
      </c>
      <c r="Q211">
        <v>-99.69</v>
      </c>
      <c r="R211">
        <v>160.13999999999999</v>
      </c>
      <c r="S211">
        <v>-41.17</v>
      </c>
      <c r="T211">
        <v>339</v>
      </c>
      <c r="U211">
        <v>109</v>
      </c>
      <c r="V211">
        <v>-0.40699999999999997</v>
      </c>
      <c r="W211">
        <v>135.03700000000001</v>
      </c>
    </row>
    <row r="212" spans="1:23" x14ac:dyDescent="0.35">
      <c r="A212">
        <v>1149298800</v>
      </c>
      <c r="B212" t="s">
        <v>23</v>
      </c>
      <c r="C212">
        <v>2006</v>
      </c>
      <c r="D212">
        <v>6</v>
      </c>
      <c r="E212">
        <v>2</v>
      </c>
      <c r="F212">
        <v>15</v>
      </c>
      <c r="G212">
        <v>40</v>
      </c>
      <c r="H212" s="1">
        <f t="shared" si="3"/>
        <v>38870.652777777781</v>
      </c>
      <c r="I212">
        <v>110.46648399999999</v>
      </c>
      <c r="J212">
        <v>-7.5441320000000003</v>
      </c>
      <c r="K212">
        <v>1.68</v>
      </c>
      <c r="L212">
        <v>1.532</v>
      </c>
      <c r="M212">
        <v>168.316</v>
      </c>
      <c r="N212">
        <v>6.444</v>
      </c>
      <c r="O212">
        <v>6.1079999999999997</v>
      </c>
      <c r="P212">
        <v>53.27</v>
      </c>
      <c r="Q212">
        <v>-99.69</v>
      </c>
      <c r="R212">
        <v>160.19999999999999</v>
      </c>
      <c r="S212">
        <v>-41.12</v>
      </c>
      <c r="T212">
        <v>339</v>
      </c>
      <c r="U212">
        <v>108</v>
      </c>
      <c r="V212">
        <v>-0.59899999999999998</v>
      </c>
      <c r="W212">
        <v>134.81100000000001</v>
      </c>
    </row>
    <row r="213" spans="1:23" x14ac:dyDescent="0.35">
      <c r="A213">
        <v>1149298800</v>
      </c>
      <c r="B213" t="s">
        <v>23</v>
      </c>
      <c r="C213">
        <v>2006</v>
      </c>
      <c r="D213">
        <v>6</v>
      </c>
      <c r="E213">
        <v>2</v>
      </c>
      <c r="F213">
        <v>15</v>
      </c>
      <c r="G213">
        <v>40</v>
      </c>
      <c r="H213" s="1">
        <f t="shared" si="3"/>
        <v>38870.652777777781</v>
      </c>
      <c r="I213">
        <v>110.435806</v>
      </c>
      <c r="J213">
        <v>-7.5425659999999999</v>
      </c>
      <c r="K213">
        <v>1.6259999999999999</v>
      </c>
      <c r="L213">
        <v>1.917</v>
      </c>
      <c r="M213">
        <v>168.316</v>
      </c>
      <c r="N213">
        <v>6.5119999999999996</v>
      </c>
      <c r="O213">
        <v>6.1669999999999998</v>
      </c>
      <c r="P213">
        <v>53.04</v>
      </c>
      <c r="Q213">
        <v>-99.01</v>
      </c>
      <c r="R213">
        <v>160.13999999999999</v>
      </c>
      <c r="S213">
        <v>-41.17</v>
      </c>
      <c r="T213">
        <v>343</v>
      </c>
      <c r="U213">
        <v>109</v>
      </c>
      <c r="V213">
        <v>-0.52600000000000002</v>
      </c>
      <c r="W213">
        <v>135.26499999999999</v>
      </c>
    </row>
    <row r="214" spans="1:23" x14ac:dyDescent="0.35">
      <c r="A214">
        <v>1149298800</v>
      </c>
      <c r="B214" t="s">
        <v>23</v>
      </c>
      <c r="C214">
        <v>2006</v>
      </c>
      <c r="D214">
        <v>6</v>
      </c>
      <c r="E214">
        <v>2</v>
      </c>
      <c r="F214">
        <v>15</v>
      </c>
      <c r="G214">
        <v>40</v>
      </c>
      <c r="H214" s="1">
        <f t="shared" si="3"/>
        <v>38870.652777777781</v>
      </c>
      <c r="I214">
        <v>110.45472700000001</v>
      </c>
      <c r="J214">
        <v>-7.5395329999999996</v>
      </c>
      <c r="K214">
        <v>2.5680000000000001</v>
      </c>
      <c r="L214">
        <v>-10</v>
      </c>
      <c r="M214">
        <v>168.316</v>
      </c>
      <c r="N214">
        <v>6.6219999999999999</v>
      </c>
      <c r="O214">
        <v>6.2930000000000001</v>
      </c>
      <c r="P214">
        <v>53.27</v>
      </c>
      <c r="Q214">
        <v>-99.01</v>
      </c>
      <c r="R214">
        <v>160.13999999999999</v>
      </c>
      <c r="S214">
        <v>-41.13</v>
      </c>
      <c r="T214">
        <v>343</v>
      </c>
      <c r="U214">
        <v>108</v>
      </c>
      <c r="V214">
        <v>-0.42</v>
      </c>
      <c r="W214">
        <v>135.04400000000001</v>
      </c>
    </row>
    <row r="215" spans="1:23" x14ac:dyDescent="0.35">
      <c r="A215">
        <v>1149309600</v>
      </c>
      <c r="B215" t="s">
        <v>22</v>
      </c>
      <c r="C215">
        <v>2006</v>
      </c>
      <c r="D215">
        <v>6</v>
      </c>
      <c r="E215">
        <v>2</v>
      </c>
      <c r="F215">
        <v>18</v>
      </c>
      <c r="G215">
        <v>40</v>
      </c>
      <c r="H215" s="1">
        <f t="shared" si="3"/>
        <v>38870.777777777781</v>
      </c>
      <c r="I215">
        <v>110.452629</v>
      </c>
      <c r="J215">
        <v>-7.5405389999999999</v>
      </c>
      <c r="K215">
        <v>1.704</v>
      </c>
      <c r="L215">
        <v>1.7</v>
      </c>
      <c r="M215">
        <v>177.26499999999999</v>
      </c>
      <c r="N215">
        <v>7.1</v>
      </c>
      <c r="O215">
        <v>6.73</v>
      </c>
      <c r="P215">
        <v>57.07</v>
      </c>
      <c r="Q215">
        <v>-82.16</v>
      </c>
      <c r="R215">
        <v>146.79</v>
      </c>
      <c r="S215">
        <v>60.34</v>
      </c>
      <c r="T215">
        <v>9</v>
      </c>
      <c r="U215">
        <v>1282</v>
      </c>
      <c r="V215">
        <v>-0.59699999999999998</v>
      </c>
      <c r="W215">
        <v>95.162000000000006</v>
      </c>
    </row>
    <row r="216" spans="1:23" x14ac:dyDescent="0.35">
      <c r="A216">
        <v>1149309600</v>
      </c>
      <c r="B216" t="s">
        <v>22</v>
      </c>
      <c r="C216">
        <v>2006</v>
      </c>
      <c r="D216">
        <v>6</v>
      </c>
      <c r="E216">
        <v>2</v>
      </c>
      <c r="F216">
        <v>18</v>
      </c>
      <c r="G216">
        <v>40</v>
      </c>
      <c r="H216" s="1">
        <f t="shared" si="3"/>
        <v>38870.777777777781</v>
      </c>
      <c r="I216">
        <v>110.446815</v>
      </c>
      <c r="J216">
        <v>-7.540381</v>
      </c>
      <c r="K216">
        <v>1.5609999999999999</v>
      </c>
      <c r="L216">
        <v>1.5189999999999999</v>
      </c>
      <c r="M216">
        <v>177.26499999999999</v>
      </c>
      <c r="N216">
        <v>7.0510000000000002</v>
      </c>
      <c r="O216">
        <v>6.6989999999999998</v>
      </c>
      <c r="P216">
        <v>57.07</v>
      </c>
      <c r="Q216">
        <v>-82.85</v>
      </c>
      <c r="R216">
        <v>146.79</v>
      </c>
      <c r="S216">
        <v>60.34</v>
      </c>
      <c r="T216">
        <v>13</v>
      </c>
      <c r="U216">
        <v>1282</v>
      </c>
      <c r="V216">
        <v>-0.63</v>
      </c>
      <c r="W216">
        <v>94.975999999999999</v>
      </c>
    </row>
    <row r="217" spans="1:23" x14ac:dyDescent="0.35">
      <c r="A217">
        <v>1149381900</v>
      </c>
      <c r="B217" t="s">
        <v>23</v>
      </c>
      <c r="C217">
        <v>2006</v>
      </c>
      <c r="D217">
        <v>6</v>
      </c>
      <c r="E217">
        <v>3</v>
      </c>
      <c r="F217">
        <v>14</v>
      </c>
      <c r="G217">
        <v>45</v>
      </c>
      <c r="H217" s="1">
        <f t="shared" si="3"/>
        <v>38871.614583333336</v>
      </c>
      <c r="I217">
        <v>110.437256</v>
      </c>
      <c r="J217">
        <v>-7.5374869999999996</v>
      </c>
      <c r="K217">
        <v>0.70699999999999996</v>
      </c>
      <c r="L217">
        <v>0.73399999999999999</v>
      </c>
      <c r="M217">
        <v>168.316</v>
      </c>
      <c r="N217">
        <v>6.6619999999999999</v>
      </c>
      <c r="O217">
        <v>6.3470000000000004</v>
      </c>
      <c r="P217">
        <v>50.13</v>
      </c>
      <c r="Q217">
        <v>82.62</v>
      </c>
      <c r="R217">
        <v>149.54</v>
      </c>
      <c r="S217">
        <v>-58.03</v>
      </c>
      <c r="T217">
        <v>316</v>
      </c>
      <c r="U217">
        <v>1217</v>
      </c>
      <c r="V217">
        <v>-0.79300000000000004</v>
      </c>
      <c r="W217">
        <v>104.44</v>
      </c>
    </row>
    <row r="218" spans="1:23" x14ac:dyDescent="0.35">
      <c r="A218">
        <v>1149392400</v>
      </c>
      <c r="B218" t="s">
        <v>22</v>
      </c>
      <c r="C218">
        <v>2006</v>
      </c>
      <c r="D218">
        <v>6</v>
      </c>
      <c r="E218">
        <v>3</v>
      </c>
      <c r="F218">
        <v>17</v>
      </c>
      <c r="G218">
        <v>40</v>
      </c>
      <c r="H218" s="1">
        <f t="shared" si="3"/>
        <v>38871.736111111109</v>
      </c>
      <c r="I218">
        <v>110.457787</v>
      </c>
      <c r="J218">
        <v>-7.5383180000000003</v>
      </c>
      <c r="K218">
        <v>0.93400000000000005</v>
      </c>
      <c r="L218">
        <v>0.95499999999999996</v>
      </c>
      <c r="M218">
        <v>177.267</v>
      </c>
      <c r="N218">
        <v>5.83</v>
      </c>
      <c r="O218">
        <v>5.66</v>
      </c>
      <c r="P218">
        <v>45.21</v>
      </c>
      <c r="Q218">
        <v>98.95</v>
      </c>
      <c r="R218">
        <v>157.79</v>
      </c>
      <c r="S218">
        <v>44.24</v>
      </c>
      <c r="T218">
        <v>2015</v>
      </c>
      <c r="U218">
        <v>186</v>
      </c>
      <c r="V218">
        <v>-0.71099999999999997</v>
      </c>
      <c r="W218">
        <v>143.64400000000001</v>
      </c>
    </row>
    <row r="219" spans="1:23" x14ac:dyDescent="0.35">
      <c r="A219">
        <v>1149392400</v>
      </c>
      <c r="B219" t="s">
        <v>22</v>
      </c>
      <c r="C219">
        <v>2006</v>
      </c>
      <c r="D219">
        <v>6</v>
      </c>
      <c r="E219">
        <v>3</v>
      </c>
      <c r="F219">
        <v>17</v>
      </c>
      <c r="G219">
        <v>40</v>
      </c>
      <c r="H219" s="1">
        <f t="shared" si="3"/>
        <v>38871.736111111109</v>
      </c>
      <c r="I219">
        <v>110.43931600000001</v>
      </c>
      <c r="J219">
        <v>-7.5353570000000003</v>
      </c>
      <c r="K219">
        <v>1.0900000000000001</v>
      </c>
      <c r="L219">
        <v>1.03</v>
      </c>
      <c r="M219">
        <v>177.267</v>
      </c>
      <c r="N219">
        <v>5.1100000000000003</v>
      </c>
      <c r="O219">
        <v>4.9610000000000003</v>
      </c>
      <c r="P219">
        <v>45.43</v>
      </c>
      <c r="Q219">
        <v>98.95</v>
      </c>
      <c r="R219">
        <v>157.79</v>
      </c>
      <c r="S219">
        <v>44.2</v>
      </c>
      <c r="T219">
        <v>2015</v>
      </c>
      <c r="U219">
        <v>185</v>
      </c>
      <c r="V219">
        <v>-0.65600000000000003</v>
      </c>
      <c r="W219">
        <v>143.435</v>
      </c>
    </row>
    <row r="220" spans="1:23" x14ac:dyDescent="0.35">
      <c r="A220">
        <v>1149426600</v>
      </c>
      <c r="B220" t="s">
        <v>23</v>
      </c>
      <c r="C220">
        <v>2006</v>
      </c>
      <c r="D220">
        <v>6</v>
      </c>
      <c r="E220">
        <v>4</v>
      </c>
      <c r="F220">
        <v>3</v>
      </c>
      <c r="G220">
        <v>10</v>
      </c>
      <c r="H220" s="1">
        <f t="shared" si="3"/>
        <v>38872.131944444445</v>
      </c>
      <c r="I220">
        <v>110.447289</v>
      </c>
      <c r="J220">
        <v>-7.5411659999999996</v>
      </c>
      <c r="K220">
        <v>4.5620000000000003</v>
      </c>
      <c r="L220">
        <v>-10</v>
      </c>
      <c r="M220">
        <v>12.843999999999999</v>
      </c>
      <c r="N220">
        <v>9.2260000000000009</v>
      </c>
      <c r="O220">
        <v>8.6289999999999996</v>
      </c>
      <c r="P220">
        <v>18.8</v>
      </c>
      <c r="Q220">
        <v>-82.62</v>
      </c>
      <c r="R220">
        <v>36.5</v>
      </c>
      <c r="S220">
        <v>34.76</v>
      </c>
      <c r="T220">
        <v>472</v>
      </c>
      <c r="U220">
        <v>886</v>
      </c>
      <c r="V220">
        <v>-0.36499999999999999</v>
      </c>
      <c r="W220">
        <v>32.031999999999996</v>
      </c>
    </row>
    <row r="221" spans="1:23" x14ac:dyDescent="0.35">
      <c r="A221">
        <v>1149436800</v>
      </c>
      <c r="B221" t="s">
        <v>22</v>
      </c>
      <c r="C221">
        <v>2006</v>
      </c>
      <c r="D221">
        <v>6</v>
      </c>
      <c r="E221">
        <v>4</v>
      </c>
      <c r="F221">
        <v>6</v>
      </c>
      <c r="G221">
        <v>0</v>
      </c>
      <c r="H221" s="1">
        <f t="shared" si="3"/>
        <v>38872.25</v>
      </c>
      <c r="I221">
        <v>110.438164</v>
      </c>
      <c r="J221">
        <v>-7.5465520000000001</v>
      </c>
      <c r="K221">
        <v>4.0720000000000001</v>
      </c>
      <c r="L221">
        <v>-10</v>
      </c>
      <c r="M221">
        <v>10.130000000000001</v>
      </c>
      <c r="N221">
        <v>8.5109999999999992</v>
      </c>
      <c r="O221">
        <v>7.915</v>
      </c>
      <c r="P221">
        <v>31.11</v>
      </c>
      <c r="Q221">
        <v>82.1</v>
      </c>
      <c r="R221">
        <v>36.61</v>
      </c>
      <c r="S221">
        <v>-33.83</v>
      </c>
      <c r="T221">
        <v>975</v>
      </c>
      <c r="U221">
        <v>1020</v>
      </c>
      <c r="V221">
        <v>-0.37</v>
      </c>
      <c r="W221">
        <v>34.523000000000003</v>
      </c>
    </row>
    <row r="222" spans="1:23" x14ac:dyDescent="0.35">
      <c r="A222">
        <v>1149470700</v>
      </c>
      <c r="B222" t="s">
        <v>23</v>
      </c>
      <c r="C222">
        <v>2006</v>
      </c>
      <c r="D222">
        <v>6</v>
      </c>
      <c r="E222">
        <v>4</v>
      </c>
      <c r="F222">
        <v>15</v>
      </c>
      <c r="G222">
        <v>25</v>
      </c>
      <c r="H222" s="1">
        <f t="shared" si="3"/>
        <v>38872.642361111109</v>
      </c>
      <c r="I222">
        <v>110.44091</v>
      </c>
      <c r="J222">
        <v>-7.5475089999999998</v>
      </c>
      <c r="K222">
        <v>2.9049999999999998</v>
      </c>
      <c r="L222">
        <v>-10</v>
      </c>
      <c r="M222">
        <v>168.316</v>
      </c>
      <c r="N222">
        <v>8.1120000000000001</v>
      </c>
      <c r="O222">
        <v>7.57</v>
      </c>
      <c r="P222">
        <v>36.26</v>
      </c>
      <c r="Q222">
        <v>-98.32</v>
      </c>
      <c r="R222">
        <v>157.91</v>
      </c>
      <c r="S222">
        <v>-47.15</v>
      </c>
      <c r="T222">
        <v>1472</v>
      </c>
      <c r="U222">
        <v>281</v>
      </c>
      <c r="V222">
        <v>-0.44500000000000001</v>
      </c>
      <c r="W222">
        <v>152.50399999999999</v>
      </c>
    </row>
    <row r="223" spans="1:23" x14ac:dyDescent="0.35">
      <c r="A223">
        <v>1149470700</v>
      </c>
      <c r="B223" t="s">
        <v>23</v>
      </c>
      <c r="C223">
        <v>2006</v>
      </c>
      <c r="D223">
        <v>6</v>
      </c>
      <c r="E223">
        <v>4</v>
      </c>
      <c r="F223">
        <v>15</v>
      </c>
      <c r="G223">
        <v>25</v>
      </c>
      <c r="H223" s="1">
        <f t="shared" si="3"/>
        <v>38872.642361111109</v>
      </c>
      <c r="I223">
        <v>110.453667</v>
      </c>
      <c r="J223">
        <v>-7.5455779999999999</v>
      </c>
      <c r="K223">
        <v>2.6850000000000001</v>
      </c>
      <c r="L223">
        <v>-10</v>
      </c>
      <c r="M223">
        <v>168.316</v>
      </c>
      <c r="N223">
        <v>8.0419999999999998</v>
      </c>
      <c r="O223">
        <v>7.67</v>
      </c>
      <c r="P223">
        <v>36.26</v>
      </c>
      <c r="Q223">
        <v>-98.32</v>
      </c>
      <c r="R223">
        <v>157.91</v>
      </c>
      <c r="S223">
        <v>-47.13</v>
      </c>
      <c r="T223">
        <v>1472</v>
      </c>
      <c r="U223">
        <v>280</v>
      </c>
      <c r="V223">
        <v>-0.48099999999999998</v>
      </c>
      <c r="W223">
        <v>152.495</v>
      </c>
    </row>
    <row r="224" spans="1:23" x14ac:dyDescent="0.35">
      <c r="A224">
        <v>1149481500</v>
      </c>
      <c r="B224" t="s">
        <v>22</v>
      </c>
      <c r="C224">
        <v>2006</v>
      </c>
      <c r="D224">
        <v>6</v>
      </c>
      <c r="E224">
        <v>4</v>
      </c>
      <c r="F224">
        <v>18</v>
      </c>
      <c r="G224">
        <v>25</v>
      </c>
      <c r="H224" s="1">
        <f t="shared" si="3"/>
        <v>38872.767361111109</v>
      </c>
      <c r="I224">
        <v>110.466324</v>
      </c>
      <c r="J224">
        <v>-7.5453000000000001</v>
      </c>
      <c r="K224">
        <v>1.0620000000000001</v>
      </c>
      <c r="L224">
        <v>1.1559999999999999</v>
      </c>
      <c r="M224">
        <v>177.26900000000001</v>
      </c>
      <c r="N224">
        <v>7.7210000000000001</v>
      </c>
      <c r="O224">
        <v>7.2839999999999998</v>
      </c>
      <c r="P224">
        <v>42.3</v>
      </c>
      <c r="Q224">
        <v>-82.51</v>
      </c>
      <c r="R224">
        <v>149.31</v>
      </c>
      <c r="S224">
        <v>57.25</v>
      </c>
      <c r="T224">
        <v>1133</v>
      </c>
      <c r="U224">
        <v>1136</v>
      </c>
      <c r="V224">
        <v>-0.72599999999999998</v>
      </c>
      <c r="W224">
        <v>112.502</v>
      </c>
    </row>
    <row r="225" spans="1:23" x14ac:dyDescent="0.35">
      <c r="A225">
        <v>1149481500</v>
      </c>
      <c r="B225" t="s">
        <v>22</v>
      </c>
      <c r="C225">
        <v>2006</v>
      </c>
      <c r="D225">
        <v>6</v>
      </c>
      <c r="E225">
        <v>4</v>
      </c>
      <c r="F225">
        <v>18</v>
      </c>
      <c r="G225">
        <v>25</v>
      </c>
      <c r="H225" s="1">
        <f t="shared" si="3"/>
        <v>38872.767361111109</v>
      </c>
      <c r="I225">
        <v>110.44605300000001</v>
      </c>
      <c r="J225">
        <v>-7.5426010000000003</v>
      </c>
      <c r="K225">
        <v>2.7090000000000001</v>
      </c>
      <c r="L225">
        <v>-10</v>
      </c>
      <c r="M225">
        <v>177.26900000000001</v>
      </c>
      <c r="N225">
        <v>7.819</v>
      </c>
      <c r="O225">
        <v>7.452</v>
      </c>
      <c r="P225">
        <v>42.08</v>
      </c>
      <c r="Q225">
        <v>-82.51</v>
      </c>
      <c r="R225">
        <v>149.37</v>
      </c>
      <c r="S225">
        <v>57.23</v>
      </c>
      <c r="T225">
        <v>1133</v>
      </c>
      <c r="U225">
        <v>1135</v>
      </c>
      <c r="V225">
        <v>-0.46700000000000003</v>
      </c>
      <c r="W225">
        <v>112.73</v>
      </c>
    </row>
    <row r="226" spans="1:23" x14ac:dyDescent="0.35">
      <c r="A226">
        <v>1149553800</v>
      </c>
      <c r="B226" t="s">
        <v>23</v>
      </c>
      <c r="C226">
        <v>2006</v>
      </c>
      <c r="D226">
        <v>6</v>
      </c>
      <c r="E226">
        <v>5</v>
      </c>
      <c r="F226">
        <v>14</v>
      </c>
      <c r="G226">
        <v>30</v>
      </c>
      <c r="H226" s="1">
        <f t="shared" si="3"/>
        <v>38873.604166666664</v>
      </c>
      <c r="I226">
        <v>110.411362</v>
      </c>
      <c r="J226">
        <v>-7.5518380000000001</v>
      </c>
      <c r="K226">
        <v>0.57799999999999996</v>
      </c>
      <c r="L226">
        <v>0.64</v>
      </c>
      <c r="M226">
        <v>168.316</v>
      </c>
      <c r="N226">
        <v>6.1059999999999999</v>
      </c>
      <c r="O226">
        <v>5.6970000000000001</v>
      </c>
      <c r="P226">
        <v>62.22</v>
      </c>
      <c r="Q226">
        <v>82.91</v>
      </c>
      <c r="R226">
        <v>146.79</v>
      </c>
      <c r="S226">
        <v>-60.26</v>
      </c>
      <c r="T226">
        <v>1435</v>
      </c>
      <c r="U226">
        <v>1329</v>
      </c>
      <c r="V226">
        <v>-0.79800000000000004</v>
      </c>
      <c r="W226">
        <v>89.465000000000003</v>
      </c>
    </row>
    <row r="227" spans="1:23" x14ac:dyDescent="0.35">
      <c r="A227">
        <v>1149598500</v>
      </c>
      <c r="B227" t="s">
        <v>23</v>
      </c>
      <c r="C227">
        <v>2006</v>
      </c>
      <c r="D227">
        <v>6</v>
      </c>
      <c r="E227">
        <v>6</v>
      </c>
      <c r="F227">
        <v>2</v>
      </c>
      <c r="G227">
        <v>55</v>
      </c>
      <c r="H227" s="1">
        <f t="shared" si="3"/>
        <v>38874.121527777781</v>
      </c>
      <c r="I227">
        <v>110.447067</v>
      </c>
      <c r="J227">
        <v>-7.5413269999999999</v>
      </c>
      <c r="K227">
        <v>7.04</v>
      </c>
      <c r="L227">
        <v>-10</v>
      </c>
      <c r="M227">
        <v>18.068000000000001</v>
      </c>
      <c r="N227">
        <v>9.1370000000000005</v>
      </c>
      <c r="O227">
        <v>8.4890000000000008</v>
      </c>
      <c r="P227">
        <v>10.52</v>
      </c>
      <c r="Q227">
        <v>96.66</v>
      </c>
      <c r="R227">
        <v>38.5</v>
      </c>
      <c r="S227">
        <v>38.94</v>
      </c>
      <c r="T227">
        <v>1608</v>
      </c>
      <c r="U227">
        <v>560</v>
      </c>
      <c r="V227">
        <v>-0.15</v>
      </c>
      <c r="W227">
        <v>45.478999999999999</v>
      </c>
    </row>
    <row r="228" spans="1:23" x14ac:dyDescent="0.35">
      <c r="A228">
        <v>1149642900</v>
      </c>
      <c r="B228" t="s">
        <v>23</v>
      </c>
      <c r="C228">
        <v>2006</v>
      </c>
      <c r="D228">
        <v>6</v>
      </c>
      <c r="E228">
        <v>6</v>
      </c>
      <c r="F228">
        <v>15</v>
      </c>
      <c r="G228">
        <v>15</v>
      </c>
      <c r="H228" s="1">
        <f t="shared" si="3"/>
        <v>38874.635416666664</v>
      </c>
      <c r="I228">
        <v>110.442497</v>
      </c>
      <c r="J228">
        <v>-7.5496670000000003</v>
      </c>
      <c r="K228">
        <v>3.1040000000000001</v>
      </c>
      <c r="L228">
        <v>-10</v>
      </c>
      <c r="M228">
        <v>168.316</v>
      </c>
      <c r="N228">
        <v>8.2479999999999993</v>
      </c>
      <c r="O228">
        <v>7.72</v>
      </c>
      <c r="P228">
        <v>10.74</v>
      </c>
      <c r="Q228">
        <v>-99.64</v>
      </c>
      <c r="R228">
        <v>155.44</v>
      </c>
      <c r="S228">
        <v>-50.22</v>
      </c>
      <c r="T228">
        <v>578</v>
      </c>
      <c r="U228">
        <v>558</v>
      </c>
      <c r="V228">
        <v>-0.42599999999999999</v>
      </c>
      <c r="W228">
        <v>160.48699999999999</v>
      </c>
    </row>
    <row r="229" spans="1:23" x14ac:dyDescent="0.35">
      <c r="A229">
        <v>1149642900</v>
      </c>
      <c r="B229" t="s">
        <v>23</v>
      </c>
      <c r="C229">
        <v>2006</v>
      </c>
      <c r="D229">
        <v>6</v>
      </c>
      <c r="E229">
        <v>6</v>
      </c>
      <c r="F229">
        <v>15</v>
      </c>
      <c r="G229">
        <v>15</v>
      </c>
      <c r="H229" s="1">
        <f t="shared" si="3"/>
        <v>38874.635416666664</v>
      </c>
      <c r="I229">
        <v>110.440819</v>
      </c>
      <c r="J229">
        <v>-7.5406469999999999</v>
      </c>
      <c r="K229">
        <v>4.6310000000000002</v>
      </c>
      <c r="L229">
        <v>-10</v>
      </c>
      <c r="M229">
        <v>168.316</v>
      </c>
      <c r="N229">
        <v>7.8769999999999998</v>
      </c>
      <c r="O229">
        <v>7.4219999999999997</v>
      </c>
      <c r="P229">
        <v>10.74</v>
      </c>
      <c r="Q229">
        <v>-100.1</v>
      </c>
      <c r="R229">
        <v>155.44</v>
      </c>
      <c r="S229">
        <v>-50.21</v>
      </c>
      <c r="T229">
        <v>579</v>
      </c>
      <c r="U229">
        <v>558</v>
      </c>
      <c r="V229">
        <v>-0.23200000000000001</v>
      </c>
      <c r="W229">
        <v>160.39699999999999</v>
      </c>
    </row>
    <row r="230" spans="1:23" x14ac:dyDescent="0.35">
      <c r="A230">
        <v>1149642900</v>
      </c>
      <c r="B230" t="s">
        <v>23</v>
      </c>
      <c r="C230">
        <v>2006</v>
      </c>
      <c r="D230">
        <v>6</v>
      </c>
      <c r="E230">
        <v>6</v>
      </c>
      <c r="F230">
        <v>15</v>
      </c>
      <c r="G230">
        <v>15</v>
      </c>
      <c r="H230" s="1">
        <f t="shared" si="3"/>
        <v>38874.635416666664</v>
      </c>
      <c r="I230">
        <v>110.44974499999999</v>
      </c>
      <c r="J230">
        <v>-7.5393499999999998</v>
      </c>
      <c r="K230">
        <v>3.5259999999999998</v>
      </c>
      <c r="L230">
        <v>-10</v>
      </c>
      <c r="M230">
        <v>168.316</v>
      </c>
      <c r="N230">
        <v>7.7770000000000001</v>
      </c>
      <c r="O230">
        <v>7.4219999999999997</v>
      </c>
      <c r="P230">
        <v>10.8</v>
      </c>
      <c r="Q230">
        <v>-100.1</v>
      </c>
      <c r="R230">
        <v>155.44</v>
      </c>
      <c r="S230">
        <v>-50.19</v>
      </c>
      <c r="T230">
        <v>579</v>
      </c>
      <c r="U230">
        <v>557</v>
      </c>
      <c r="V230">
        <v>-0.35599999999999998</v>
      </c>
      <c r="W230">
        <v>160.416</v>
      </c>
    </row>
    <row r="231" spans="1:23" x14ac:dyDescent="0.35">
      <c r="A231">
        <v>1149770700</v>
      </c>
      <c r="B231" t="s">
        <v>23</v>
      </c>
      <c r="C231">
        <v>2006</v>
      </c>
      <c r="D231">
        <v>6</v>
      </c>
      <c r="E231">
        <v>8</v>
      </c>
      <c r="F231">
        <v>2</v>
      </c>
      <c r="G231">
        <v>45</v>
      </c>
      <c r="H231" s="1">
        <f t="shared" si="3"/>
        <v>38876.114583333336</v>
      </c>
      <c r="I231">
        <v>110.43853</v>
      </c>
      <c r="J231">
        <v>-7.54244</v>
      </c>
      <c r="K231">
        <v>2.9780000000000002</v>
      </c>
      <c r="L231">
        <v>-10</v>
      </c>
      <c r="M231">
        <v>17.29</v>
      </c>
      <c r="N231">
        <v>8.3179999999999996</v>
      </c>
      <c r="O231">
        <v>7.9279999999999999</v>
      </c>
      <c r="P231">
        <v>36.03</v>
      </c>
      <c r="Q231">
        <v>98.61</v>
      </c>
      <c r="R231">
        <v>40.619999999999997</v>
      </c>
      <c r="S231">
        <v>41.41</v>
      </c>
      <c r="T231">
        <v>706</v>
      </c>
      <c r="U231">
        <v>282</v>
      </c>
      <c r="V231">
        <v>-0.55900000000000005</v>
      </c>
      <c r="W231">
        <v>66.290000000000006</v>
      </c>
    </row>
    <row r="232" spans="1:23" x14ac:dyDescent="0.35">
      <c r="A232">
        <v>1149814800</v>
      </c>
      <c r="B232" t="s">
        <v>23</v>
      </c>
      <c r="C232">
        <v>2006</v>
      </c>
      <c r="D232">
        <v>6</v>
      </c>
      <c r="E232">
        <v>8</v>
      </c>
      <c r="F232">
        <v>15</v>
      </c>
      <c r="G232">
        <v>0</v>
      </c>
      <c r="H232" s="1">
        <f t="shared" si="3"/>
        <v>38876.625</v>
      </c>
      <c r="I232">
        <v>110.44416</v>
      </c>
      <c r="J232">
        <v>-7.5406399999999998</v>
      </c>
      <c r="K232">
        <v>2.4550000000000001</v>
      </c>
      <c r="L232">
        <v>-10</v>
      </c>
      <c r="M232">
        <v>168.316</v>
      </c>
      <c r="N232">
        <v>7.8940000000000001</v>
      </c>
      <c r="O232">
        <v>7.5049999999999999</v>
      </c>
      <c r="P232">
        <v>18.579999999999998</v>
      </c>
      <c r="Q232">
        <v>81.3</v>
      </c>
      <c r="R232">
        <v>152.87</v>
      </c>
      <c r="S232">
        <v>-54.05</v>
      </c>
      <c r="T232">
        <v>1703</v>
      </c>
      <c r="U232">
        <v>883</v>
      </c>
      <c r="V232">
        <v>-0.50700000000000001</v>
      </c>
      <c r="W232">
        <v>136.983</v>
      </c>
    </row>
    <row r="233" spans="1:23" x14ac:dyDescent="0.35">
      <c r="A233">
        <v>1149825600</v>
      </c>
      <c r="B233" t="s">
        <v>22</v>
      </c>
      <c r="C233">
        <v>2006</v>
      </c>
      <c r="D233">
        <v>6</v>
      </c>
      <c r="E233">
        <v>8</v>
      </c>
      <c r="F233">
        <v>18</v>
      </c>
      <c r="G233">
        <v>0</v>
      </c>
      <c r="H233" s="1">
        <f t="shared" si="3"/>
        <v>38876.75</v>
      </c>
      <c r="I233">
        <v>110.448395</v>
      </c>
      <c r="J233">
        <v>-7.5452409999999999</v>
      </c>
      <c r="K233">
        <v>1.641</v>
      </c>
      <c r="L233">
        <v>1.73</v>
      </c>
      <c r="M233">
        <v>177.27600000000001</v>
      </c>
      <c r="N233">
        <v>7.5910000000000002</v>
      </c>
      <c r="O233">
        <v>7.1550000000000002</v>
      </c>
      <c r="P233">
        <v>10.35</v>
      </c>
      <c r="Q233">
        <v>95.86</v>
      </c>
      <c r="R233">
        <v>154.24</v>
      </c>
      <c r="S233">
        <v>50.08</v>
      </c>
      <c r="T233">
        <v>1359</v>
      </c>
      <c r="U233">
        <v>562</v>
      </c>
      <c r="V233">
        <v>-0.61099999999999999</v>
      </c>
      <c r="W233">
        <v>160.72900000000001</v>
      </c>
    </row>
    <row r="234" spans="1:23" x14ac:dyDescent="0.35">
      <c r="A234">
        <v>1149825600</v>
      </c>
      <c r="B234" t="s">
        <v>22</v>
      </c>
      <c r="C234">
        <v>2006</v>
      </c>
      <c r="D234">
        <v>6</v>
      </c>
      <c r="E234">
        <v>8</v>
      </c>
      <c r="F234">
        <v>18</v>
      </c>
      <c r="G234">
        <v>0</v>
      </c>
      <c r="H234" s="1">
        <f t="shared" si="3"/>
        <v>38876.75</v>
      </c>
      <c r="I234">
        <v>110.449844</v>
      </c>
      <c r="J234">
        <v>-7.5361880000000001</v>
      </c>
      <c r="K234">
        <v>1.6339999999999999</v>
      </c>
      <c r="L234">
        <v>1.6279999999999999</v>
      </c>
      <c r="M234">
        <v>177.27600000000001</v>
      </c>
      <c r="N234">
        <v>7.492</v>
      </c>
      <c r="O234">
        <v>7.1840000000000002</v>
      </c>
      <c r="P234">
        <v>10.35</v>
      </c>
      <c r="Q234">
        <v>96.37</v>
      </c>
      <c r="R234">
        <v>154.24</v>
      </c>
      <c r="S234">
        <v>50.07</v>
      </c>
      <c r="T234">
        <v>1358</v>
      </c>
      <c r="U234">
        <v>562</v>
      </c>
      <c r="V234">
        <v>-0.63100000000000001</v>
      </c>
      <c r="W234">
        <v>160.63499999999999</v>
      </c>
    </row>
    <row r="235" spans="1:23" x14ac:dyDescent="0.35">
      <c r="A235">
        <v>1149870000</v>
      </c>
      <c r="B235" t="s">
        <v>22</v>
      </c>
      <c r="C235">
        <v>2006</v>
      </c>
      <c r="D235">
        <v>6</v>
      </c>
      <c r="E235">
        <v>9</v>
      </c>
      <c r="F235">
        <v>6</v>
      </c>
      <c r="G235">
        <v>20</v>
      </c>
      <c r="H235" s="1">
        <f t="shared" si="3"/>
        <v>38877.263888888891</v>
      </c>
      <c r="I235">
        <v>110.44193300000001</v>
      </c>
      <c r="J235">
        <v>-7.544092</v>
      </c>
      <c r="K235">
        <v>3.1349999999999998</v>
      </c>
      <c r="L235">
        <v>-10</v>
      </c>
      <c r="M235">
        <v>15.57</v>
      </c>
      <c r="N235">
        <v>8.359</v>
      </c>
      <c r="O235">
        <v>7.81</v>
      </c>
      <c r="P235">
        <v>10.85</v>
      </c>
      <c r="Q235">
        <v>-98.49</v>
      </c>
      <c r="R235">
        <v>39.590000000000003</v>
      </c>
      <c r="S235">
        <v>-38.840000000000003</v>
      </c>
      <c r="T235">
        <v>325</v>
      </c>
      <c r="U235">
        <v>556</v>
      </c>
      <c r="V235">
        <v>-0.51900000000000002</v>
      </c>
      <c r="W235">
        <v>45.765000000000001</v>
      </c>
    </row>
    <row r="236" spans="1:23" x14ac:dyDescent="0.35">
      <c r="A236">
        <v>1149903900</v>
      </c>
      <c r="B236" t="s">
        <v>23</v>
      </c>
      <c r="C236">
        <v>2006</v>
      </c>
      <c r="D236">
        <v>6</v>
      </c>
      <c r="E236">
        <v>9</v>
      </c>
      <c r="F236">
        <v>15</v>
      </c>
      <c r="G236">
        <v>45</v>
      </c>
      <c r="H236" s="1">
        <f t="shared" si="3"/>
        <v>38877.65625</v>
      </c>
      <c r="I236">
        <v>110.438461</v>
      </c>
      <c r="J236">
        <v>-7.5427489999999997</v>
      </c>
      <c r="K236">
        <v>0.46700000000000003</v>
      </c>
      <c r="L236">
        <v>0.52600000000000002</v>
      </c>
      <c r="M236">
        <v>168.316</v>
      </c>
      <c r="N236">
        <v>4.2300000000000004</v>
      </c>
      <c r="O236">
        <v>4.01</v>
      </c>
      <c r="P236">
        <v>59.09</v>
      </c>
      <c r="Q236">
        <v>-99.52</v>
      </c>
      <c r="R236">
        <v>160.37</v>
      </c>
      <c r="S236">
        <v>-37.85</v>
      </c>
      <c r="T236">
        <v>825</v>
      </c>
      <c r="U236">
        <v>52</v>
      </c>
      <c r="V236">
        <v>-0.76800000000000002</v>
      </c>
      <c r="W236">
        <v>128.441</v>
      </c>
    </row>
    <row r="237" spans="1:23" x14ac:dyDescent="0.35">
      <c r="A237">
        <v>1149914700</v>
      </c>
      <c r="B237" t="s">
        <v>22</v>
      </c>
      <c r="C237">
        <v>2006</v>
      </c>
      <c r="D237">
        <v>6</v>
      </c>
      <c r="E237">
        <v>9</v>
      </c>
      <c r="F237">
        <v>18</v>
      </c>
      <c r="G237">
        <v>45</v>
      </c>
      <c r="H237" s="1">
        <f t="shared" si="3"/>
        <v>38877.78125</v>
      </c>
      <c r="I237">
        <v>110.44062</v>
      </c>
      <c r="J237">
        <v>-7.5433979999999998</v>
      </c>
      <c r="K237">
        <v>0.84399999999999997</v>
      </c>
      <c r="L237">
        <v>0.77</v>
      </c>
      <c r="M237">
        <v>177.27799999999999</v>
      </c>
      <c r="N237">
        <v>7.1920000000000002</v>
      </c>
      <c r="O237">
        <v>6.8330000000000002</v>
      </c>
      <c r="P237">
        <v>62.22</v>
      </c>
      <c r="Q237">
        <v>-82.68</v>
      </c>
      <c r="R237">
        <v>145.47</v>
      </c>
      <c r="S237">
        <v>59.69</v>
      </c>
      <c r="T237">
        <v>486</v>
      </c>
      <c r="U237">
        <v>1329</v>
      </c>
      <c r="V237">
        <v>-0.79700000000000004</v>
      </c>
      <c r="W237">
        <v>89.459000000000003</v>
      </c>
    </row>
    <row r="238" spans="1:23" x14ac:dyDescent="0.35">
      <c r="A238">
        <v>1149987000</v>
      </c>
      <c r="B238" t="s">
        <v>23</v>
      </c>
      <c r="C238">
        <v>2006</v>
      </c>
      <c r="D238">
        <v>6</v>
      </c>
      <c r="E238">
        <v>10</v>
      </c>
      <c r="F238">
        <v>14</v>
      </c>
      <c r="G238">
        <v>50</v>
      </c>
      <c r="H238" s="1">
        <f t="shared" si="3"/>
        <v>38878.618055555555</v>
      </c>
      <c r="I238">
        <v>110.428009</v>
      </c>
      <c r="J238">
        <v>-7.5482279999999999</v>
      </c>
      <c r="K238">
        <v>1.3620000000000001</v>
      </c>
      <c r="L238">
        <v>1.502</v>
      </c>
      <c r="M238">
        <v>168.316</v>
      </c>
      <c r="N238">
        <v>7.5620000000000003</v>
      </c>
      <c r="O238">
        <v>7.16</v>
      </c>
      <c r="P238">
        <v>41.85</v>
      </c>
      <c r="Q238">
        <v>82.16</v>
      </c>
      <c r="R238">
        <v>150.29</v>
      </c>
      <c r="S238">
        <v>-56.1</v>
      </c>
      <c r="T238">
        <v>804</v>
      </c>
      <c r="U238">
        <v>1132</v>
      </c>
      <c r="V238">
        <v>-0.65300000000000002</v>
      </c>
      <c r="W238">
        <v>113.21299999999999</v>
      </c>
    </row>
    <row r="239" spans="1:23" x14ac:dyDescent="0.35">
      <c r="A239">
        <v>1149987000</v>
      </c>
      <c r="B239" t="s">
        <v>23</v>
      </c>
      <c r="C239">
        <v>2006</v>
      </c>
      <c r="D239">
        <v>6</v>
      </c>
      <c r="E239">
        <v>10</v>
      </c>
      <c r="F239">
        <v>14</v>
      </c>
      <c r="G239">
        <v>50</v>
      </c>
      <c r="H239" s="1">
        <f t="shared" si="3"/>
        <v>38878.618055555555</v>
      </c>
      <c r="I239">
        <v>110.449944</v>
      </c>
      <c r="J239">
        <v>-7.5452849999999998</v>
      </c>
      <c r="K239">
        <v>1.3149999999999999</v>
      </c>
      <c r="L239">
        <v>1.2470000000000001</v>
      </c>
      <c r="M239">
        <v>168.316</v>
      </c>
      <c r="N239">
        <v>7.3940000000000001</v>
      </c>
      <c r="O239">
        <v>7.0919999999999996</v>
      </c>
      <c r="P239">
        <v>41.63</v>
      </c>
      <c r="Q239">
        <v>82.16</v>
      </c>
      <c r="R239">
        <v>150.29</v>
      </c>
      <c r="S239">
        <v>-56.08</v>
      </c>
      <c r="T239">
        <v>804</v>
      </c>
      <c r="U239">
        <v>1131</v>
      </c>
      <c r="V239">
        <v>-0.70099999999999996</v>
      </c>
      <c r="W239">
        <v>113.441</v>
      </c>
    </row>
    <row r="240" spans="1:23" x14ac:dyDescent="0.35">
      <c r="A240">
        <v>1149997800</v>
      </c>
      <c r="B240" t="s">
        <v>22</v>
      </c>
      <c r="C240">
        <v>2006</v>
      </c>
      <c r="D240">
        <v>6</v>
      </c>
      <c r="E240">
        <v>10</v>
      </c>
      <c r="F240">
        <v>17</v>
      </c>
      <c r="G240">
        <v>50</v>
      </c>
      <c r="H240" s="1">
        <f t="shared" si="3"/>
        <v>38878.743055555555</v>
      </c>
      <c r="I240">
        <v>110.443398</v>
      </c>
      <c r="J240">
        <v>-7.5446010000000001</v>
      </c>
      <c r="K240">
        <v>1.288</v>
      </c>
      <c r="L240">
        <v>1.2849999999999999</v>
      </c>
      <c r="M240">
        <v>177.28</v>
      </c>
      <c r="N240">
        <v>7.3460000000000001</v>
      </c>
      <c r="O240">
        <v>7.0110000000000001</v>
      </c>
      <c r="P240">
        <v>36.03</v>
      </c>
      <c r="Q240">
        <v>98.72</v>
      </c>
      <c r="R240">
        <v>156.53</v>
      </c>
      <c r="S240">
        <v>46.27</v>
      </c>
      <c r="T240">
        <v>455</v>
      </c>
      <c r="U240">
        <v>283</v>
      </c>
      <c r="V240">
        <v>-0.69</v>
      </c>
      <c r="W240">
        <v>152.19499999999999</v>
      </c>
    </row>
    <row r="241" spans="1:23" x14ac:dyDescent="0.35">
      <c r="A241">
        <v>1149997800</v>
      </c>
      <c r="B241" t="s">
        <v>22</v>
      </c>
      <c r="C241">
        <v>2006</v>
      </c>
      <c r="D241">
        <v>6</v>
      </c>
      <c r="E241">
        <v>10</v>
      </c>
      <c r="F241">
        <v>17</v>
      </c>
      <c r="G241">
        <v>50</v>
      </c>
      <c r="H241" s="1">
        <f t="shared" si="3"/>
        <v>38878.743055555555</v>
      </c>
      <c r="I241">
        <v>110.445007</v>
      </c>
      <c r="J241">
        <v>-7.5338329999999996</v>
      </c>
      <c r="K241">
        <v>0.96199999999999997</v>
      </c>
      <c r="L241">
        <v>0.90200000000000002</v>
      </c>
      <c r="M241">
        <v>177.28</v>
      </c>
      <c r="N241">
        <v>7.1539999999999999</v>
      </c>
      <c r="O241">
        <v>6.8419999999999996</v>
      </c>
      <c r="P241">
        <v>36.03</v>
      </c>
      <c r="Q241">
        <v>98.89</v>
      </c>
      <c r="R241">
        <v>156.53</v>
      </c>
      <c r="S241">
        <v>46.26</v>
      </c>
      <c r="T241">
        <v>454</v>
      </c>
      <c r="U241">
        <v>283</v>
      </c>
      <c r="V241">
        <v>-0.76700000000000002</v>
      </c>
      <c r="W241">
        <v>152.12100000000001</v>
      </c>
    </row>
    <row r="242" spans="1:23" x14ac:dyDescent="0.35">
      <c r="A242">
        <v>1150031700</v>
      </c>
      <c r="B242" t="s">
        <v>23</v>
      </c>
      <c r="C242">
        <v>2006</v>
      </c>
      <c r="D242">
        <v>6</v>
      </c>
      <c r="E242">
        <v>11</v>
      </c>
      <c r="F242">
        <v>3</v>
      </c>
      <c r="G242">
        <v>15</v>
      </c>
      <c r="H242" s="1">
        <f t="shared" si="3"/>
        <v>38879.135416666664</v>
      </c>
      <c r="I242">
        <v>110.45004299999999</v>
      </c>
      <c r="J242">
        <v>-7.5448240000000002</v>
      </c>
      <c r="K242">
        <v>3.3210000000000002</v>
      </c>
      <c r="L242">
        <v>-10</v>
      </c>
      <c r="M242">
        <v>10.683999999999999</v>
      </c>
      <c r="N242">
        <v>9.1010000000000009</v>
      </c>
      <c r="O242">
        <v>8.5459999999999994</v>
      </c>
      <c r="P242">
        <v>31.56</v>
      </c>
      <c r="Q242">
        <v>-81.53</v>
      </c>
      <c r="R242">
        <v>36.380000000000003</v>
      </c>
      <c r="S242">
        <v>32.94</v>
      </c>
      <c r="T242">
        <v>968</v>
      </c>
      <c r="U242">
        <v>1025</v>
      </c>
      <c r="V242">
        <v>-0.498</v>
      </c>
      <c r="W242">
        <v>35.628999999999998</v>
      </c>
    </row>
    <row r="243" spans="1:23" x14ac:dyDescent="0.35">
      <c r="A243">
        <v>1150075800</v>
      </c>
      <c r="B243" t="s">
        <v>23</v>
      </c>
      <c r="C243">
        <v>2006</v>
      </c>
      <c r="D243">
        <v>6</v>
      </c>
      <c r="E243">
        <v>11</v>
      </c>
      <c r="F243">
        <v>15</v>
      </c>
      <c r="G243">
        <v>30</v>
      </c>
      <c r="H243" s="1">
        <f t="shared" si="3"/>
        <v>38879.645833333336</v>
      </c>
      <c r="I243">
        <v>110.44381</v>
      </c>
      <c r="J243">
        <v>-7.545147</v>
      </c>
      <c r="K243">
        <v>1.0029999999999999</v>
      </c>
      <c r="L243">
        <v>1.0620000000000001</v>
      </c>
      <c r="M243">
        <v>168.316</v>
      </c>
      <c r="N243">
        <v>7.3029999999999999</v>
      </c>
      <c r="O243">
        <v>6.9930000000000003</v>
      </c>
      <c r="P243">
        <v>45.66</v>
      </c>
      <c r="Q243">
        <v>-99.01</v>
      </c>
      <c r="R243">
        <v>158.31</v>
      </c>
      <c r="S243">
        <v>-44.46</v>
      </c>
      <c r="T243">
        <v>1965</v>
      </c>
      <c r="U243">
        <v>182</v>
      </c>
      <c r="V243">
        <v>-0.73599999999999999</v>
      </c>
      <c r="W243">
        <v>143.566</v>
      </c>
    </row>
    <row r="244" spans="1:23" x14ac:dyDescent="0.35">
      <c r="A244">
        <v>1150341900</v>
      </c>
      <c r="B244" t="s">
        <v>22</v>
      </c>
      <c r="C244">
        <v>2006</v>
      </c>
      <c r="D244">
        <v>6</v>
      </c>
      <c r="E244">
        <v>14</v>
      </c>
      <c r="F244">
        <v>17</v>
      </c>
      <c r="G244">
        <v>25</v>
      </c>
      <c r="H244" s="1">
        <f t="shared" si="3"/>
        <v>38882.725694444445</v>
      </c>
      <c r="I244">
        <v>110.45732099999999</v>
      </c>
      <c r="J244">
        <v>-7.533747</v>
      </c>
      <c r="K244">
        <v>0.77800000000000002</v>
      </c>
      <c r="L244">
        <v>0.79700000000000004</v>
      </c>
      <c r="M244">
        <v>177.28700000000001</v>
      </c>
      <c r="N244">
        <v>7.2750000000000004</v>
      </c>
      <c r="O244">
        <v>6.923</v>
      </c>
      <c r="P244">
        <v>64.010000000000005</v>
      </c>
      <c r="Q244">
        <v>99.29</v>
      </c>
      <c r="R244">
        <v>160.43</v>
      </c>
      <c r="S244">
        <v>34.08</v>
      </c>
      <c r="T244">
        <v>679</v>
      </c>
      <c r="U244">
        <v>10</v>
      </c>
      <c r="V244">
        <v>-0.79400000000000004</v>
      </c>
      <c r="W244">
        <v>122.56</v>
      </c>
    </row>
    <row r="245" spans="1:23" x14ac:dyDescent="0.35">
      <c r="A245">
        <v>1150341900</v>
      </c>
      <c r="B245" t="s">
        <v>22</v>
      </c>
      <c r="C245">
        <v>2006</v>
      </c>
      <c r="D245">
        <v>6</v>
      </c>
      <c r="E245">
        <v>14</v>
      </c>
      <c r="F245">
        <v>17</v>
      </c>
      <c r="G245">
        <v>25</v>
      </c>
      <c r="H245" s="1">
        <f t="shared" si="3"/>
        <v>38882.725694444445</v>
      </c>
      <c r="I245">
        <v>110.451958</v>
      </c>
      <c r="J245">
        <v>-7.5333170000000003</v>
      </c>
      <c r="K245">
        <v>0.91700000000000004</v>
      </c>
      <c r="L245">
        <v>0.9</v>
      </c>
      <c r="M245">
        <v>177.28700000000001</v>
      </c>
      <c r="N245">
        <v>7.2720000000000002</v>
      </c>
      <c r="O245">
        <v>6.92</v>
      </c>
      <c r="P245">
        <v>64.010000000000005</v>
      </c>
      <c r="Q245">
        <v>99.81</v>
      </c>
      <c r="R245">
        <v>160.43</v>
      </c>
      <c r="S245">
        <v>34.07</v>
      </c>
      <c r="T245">
        <v>684</v>
      </c>
      <c r="U245">
        <v>10</v>
      </c>
      <c r="V245">
        <v>-0.77</v>
      </c>
      <c r="W245">
        <v>122.39</v>
      </c>
    </row>
    <row r="246" spans="1:23" x14ac:dyDescent="0.35">
      <c r="A246">
        <v>1150375800</v>
      </c>
      <c r="B246" t="s">
        <v>23</v>
      </c>
      <c r="C246">
        <v>2006</v>
      </c>
      <c r="D246">
        <v>6</v>
      </c>
      <c r="E246">
        <v>15</v>
      </c>
      <c r="F246">
        <v>2</v>
      </c>
      <c r="G246">
        <v>50</v>
      </c>
      <c r="H246" s="1">
        <f t="shared" si="3"/>
        <v>38883.118055555555</v>
      </c>
      <c r="I246">
        <v>110.4496</v>
      </c>
      <c r="J246">
        <v>-7.5430780000000004</v>
      </c>
      <c r="K246">
        <v>4.3479999999999999</v>
      </c>
      <c r="L246">
        <v>-10</v>
      </c>
      <c r="M246">
        <v>12.891</v>
      </c>
      <c r="N246">
        <v>10.275</v>
      </c>
      <c r="O246">
        <v>9.5009999999999994</v>
      </c>
      <c r="P246">
        <v>24.17</v>
      </c>
      <c r="Q246">
        <v>98.09</v>
      </c>
      <c r="R246">
        <v>40.22</v>
      </c>
      <c r="S246">
        <v>39.99</v>
      </c>
      <c r="T246">
        <v>1187</v>
      </c>
      <c r="U246">
        <v>410</v>
      </c>
      <c r="V246">
        <v>-0.42899999999999999</v>
      </c>
      <c r="W246">
        <v>56.581000000000003</v>
      </c>
    </row>
    <row r="247" spans="1:23" x14ac:dyDescent="0.35">
      <c r="A247">
        <v>1150420200</v>
      </c>
      <c r="B247" t="s">
        <v>23</v>
      </c>
      <c r="C247">
        <v>2006</v>
      </c>
      <c r="D247">
        <v>6</v>
      </c>
      <c r="E247">
        <v>15</v>
      </c>
      <c r="F247">
        <v>15</v>
      </c>
      <c r="G247">
        <v>10</v>
      </c>
      <c r="H247" s="1">
        <f t="shared" si="3"/>
        <v>38883.631944444445</v>
      </c>
      <c r="I247">
        <v>110.438019</v>
      </c>
      <c r="J247">
        <v>-7.5423730000000004</v>
      </c>
      <c r="K247">
        <v>1.746</v>
      </c>
      <c r="L247">
        <v>-10</v>
      </c>
      <c r="M247">
        <v>168.316</v>
      </c>
      <c r="N247">
        <v>7.72</v>
      </c>
      <c r="O247">
        <v>7.2370000000000001</v>
      </c>
      <c r="P247">
        <v>4.0599999999999996</v>
      </c>
      <c r="Q247">
        <v>82.51</v>
      </c>
      <c r="R247">
        <v>153.55000000000001</v>
      </c>
      <c r="S247">
        <v>-50.99</v>
      </c>
      <c r="T247">
        <v>156</v>
      </c>
      <c r="U247">
        <v>722</v>
      </c>
      <c r="V247">
        <v>-0.61099999999999999</v>
      </c>
      <c r="W247">
        <v>150.57599999999999</v>
      </c>
    </row>
    <row r="248" spans="1:23" x14ac:dyDescent="0.35">
      <c r="A248">
        <v>1150420200</v>
      </c>
      <c r="B248" t="s">
        <v>23</v>
      </c>
      <c r="C248">
        <v>2006</v>
      </c>
      <c r="D248">
        <v>6</v>
      </c>
      <c r="E248">
        <v>15</v>
      </c>
      <c r="F248">
        <v>15</v>
      </c>
      <c r="G248">
        <v>10</v>
      </c>
      <c r="H248" s="1">
        <f t="shared" si="3"/>
        <v>38883.631944444445</v>
      </c>
      <c r="I248">
        <v>110.447243</v>
      </c>
      <c r="J248">
        <v>-7.5410700000000004</v>
      </c>
      <c r="K248">
        <v>4.556</v>
      </c>
      <c r="L248">
        <v>-10</v>
      </c>
      <c r="M248">
        <v>168.316</v>
      </c>
      <c r="N248">
        <v>8.1829999999999998</v>
      </c>
      <c r="O248">
        <v>7.9009999999999998</v>
      </c>
      <c r="P248">
        <v>3.94</v>
      </c>
      <c r="Q248">
        <v>82.51</v>
      </c>
      <c r="R248">
        <v>153.61000000000001</v>
      </c>
      <c r="S248">
        <v>-50.97</v>
      </c>
      <c r="T248">
        <v>156</v>
      </c>
      <c r="U248">
        <v>721</v>
      </c>
      <c r="V248">
        <v>-0.26900000000000002</v>
      </c>
      <c r="W248">
        <v>150.667</v>
      </c>
    </row>
    <row r="249" spans="1:23" x14ac:dyDescent="0.35">
      <c r="A249">
        <v>1150430700</v>
      </c>
      <c r="B249" t="s">
        <v>22</v>
      </c>
      <c r="C249">
        <v>2006</v>
      </c>
      <c r="D249">
        <v>6</v>
      </c>
      <c r="E249">
        <v>15</v>
      </c>
      <c r="F249">
        <v>18</v>
      </c>
      <c r="G249">
        <v>5</v>
      </c>
      <c r="H249" s="1">
        <f t="shared" si="3"/>
        <v>38883.753472222219</v>
      </c>
      <c r="I249">
        <v>110.45562700000001</v>
      </c>
      <c r="J249">
        <v>-7.5543950000000004</v>
      </c>
      <c r="K249">
        <v>1.135</v>
      </c>
      <c r="L249">
        <v>1.129</v>
      </c>
      <c r="M249">
        <v>177.28899999999999</v>
      </c>
      <c r="N249">
        <v>8.5920000000000005</v>
      </c>
      <c r="O249">
        <v>8.016</v>
      </c>
      <c r="P249">
        <v>4.62</v>
      </c>
      <c r="Q249">
        <v>-77.290000000000006</v>
      </c>
      <c r="R249">
        <v>153.09</v>
      </c>
      <c r="S249">
        <v>50.32</v>
      </c>
      <c r="T249">
        <v>1838</v>
      </c>
      <c r="U249">
        <v>728</v>
      </c>
      <c r="V249">
        <v>-0.753</v>
      </c>
      <c r="W249">
        <v>150.935</v>
      </c>
    </row>
    <row r="250" spans="1:23" x14ac:dyDescent="0.35">
      <c r="A250">
        <v>1150430700</v>
      </c>
      <c r="B250" t="s">
        <v>22</v>
      </c>
      <c r="C250">
        <v>2006</v>
      </c>
      <c r="D250">
        <v>6</v>
      </c>
      <c r="E250">
        <v>15</v>
      </c>
      <c r="F250">
        <v>18</v>
      </c>
      <c r="G250">
        <v>5</v>
      </c>
      <c r="H250" s="1">
        <f t="shared" si="3"/>
        <v>38883.753472222219</v>
      </c>
      <c r="I250">
        <v>110.456627</v>
      </c>
      <c r="J250">
        <v>-7.545363</v>
      </c>
      <c r="K250">
        <v>0.91</v>
      </c>
      <c r="L250">
        <v>1.006</v>
      </c>
      <c r="M250">
        <v>177.28899999999999</v>
      </c>
      <c r="N250">
        <v>7.9009999999999998</v>
      </c>
      <c r="O250">
        <v>7.423</v>
      </c>
      <c r="P250">
        <v>4.62</v>
      </c>
      <c r="Q250">
        <v>-78.38</v>
      </c>
      <c r="R250">
        <v>153.09</v>
      </c>
      <c r="S250">
        <v>50.3</v>
      </c>
      <c r="T250">
        <v>1837</v>
      </c>
      <c r="U250">
        <v>728</v>
      </c>
      <c r="V250">
        <v>-0.76100000000000001</v>
      </c>
      <c r="W250">
        <v>150.86699999999999</v>
      </c>
    </row>
    <row r="251" spans="1:23" x14ac:dyDescent="0.35">
      <c r="A251">
        <v>1150430700</v>
      </c>
      <c r="B251" t="s">
        <v>22</v>
      </c>
      <c r="C251">
        <v>2006</v>
      </c>
      <c r="D251">
        <v>6</v>
      </c>
      <c r="E251">
        <v>15</v>
      </c>
      <c r="F251">
        <v>18</v>
      </c>
      <c r="G251">
        <v>5</v>
      </c>
      <c r="H251" s="1">
        <f t="shared" si="3"/>
        <v>38883.753472222219</v>
      </c>
      <c r="I251">
        <v>110.447441</v>
      </c>
      <c r="J251">
        <v>-7.544003</v>
      </c>
      <c r="K251">
        <v>3.1419999999999999</v>
      </c>
      <c r="L251">
        <v>-10</v>
      </c>
      <c r="M251">
        <v>177.28899999999999</v>
      </c>
      <c r="N251">
        <v>8.3930000000000007</v>
      </c>
      <c r="O251">
        <v>7.9450000000000003</v>
      </c>
      <c r="P251">
        <v>4.5599999999999996</v>
      </c>
      <c r="Q251">
        <v>-78.319999999999993</v>
      </c>
      <c r="R251">
        <v>153.09</v>
      </c>
      <c r="S251">
        <v>50.29</v>
      </c>
      <c r="T251">
        <v>1837</v>
      </c>
      <c r="U251">
        <v>727</v>
      </c>
      <c r="V251">
        <v>-0.433</v>
      </c>
      <c r="W251">
        <v>150.917</v>
      </c>
    </row>
    <row r="252" spans="1:23" x14ac:dyDescent="0.35">
      <c r="A252">
        <v>1150430700</v>
      </c>
      <c r="B252" t="s">
        <v>22</v>
      </c>
      <c r="C252">
        <v>2006</v>
      </c>
      <c r="D252">
        <v>6</v>
      </c>
      <c r="E252">
        <v>15</v>
      </c>
      <c r="F252">
        <v>18</v>
      </c>
      <c r="G252">
        <v>5</v>
      </c>
      <c r="H252" s="1">
        <f t="shared" si="3"/>
        <v>38883.753472222219</v>
      </c>
      <c r="I252">
        <v>110.448746</v>
      </c>
      <c r="J252">
        <v>-7.5350419999999998</v>
      </c>
      <c r="K252">
        <v>0.94799999999999995</v>
      </c>
      <c r="L252">
        <v>0.87</v>
      </c>
      <c r="M252">
        <v>177.28899999999999</v>
      </c>
      <c r="N252">
        <v>7.5110000000000001</v>
      </c>
      <c r="O252">
        <v>7.202</v>
      </c>
      <c r="P252">
        <v>4.5</v>
      </c>
      <c r="Q252">
        <v>-79.47</v>
      </c>
      <c r="R252">
        <v>153.09</v>
      </c>
      <c r="S252">
        <v>50.28</v>
      </c>
      <c r="T252">
        <v>1836</v>
      </c>
      <c r="U252">
        <v>727</v>
      </c>
      <c r="V252">
        <v>-0.78400000000000003</v>
      </c>
      <c r="W252">
        <v>150.887</v>
      </c>
    </row>
    <row r="253" spans="1:23" x14ac:dyDescent="0.35">
      <c r="A253">
        <v>1150592100</v>
      </c>
      <c r="B253" t="s">
        <v>23</v>
      </c>
      <c r="C253">
        <v>2006</v>
      </c>
      <c r="D253">
        <v>6</v>
      </c>
      <c r="E253">
        <v>17</v>
      </c>
      <c r="F253">
        <v>14</v>
      </c>
      <c r="G253">
        <v>55</v>
      </c>
      <c r="H253" s="1">
        <f t="shared" si="3"/>
        <v>38885.621527777781</v>
      </c>
      <c r="I253">
        <v>110.44450399999999</v>
      </c>
      <c r="J253">
        <v>-7.5487460000000004</v>
      </c>
      <c r="K253">
        <v>3.16</v>
      </c>
      <c r="L253">
        <v>-10</v>
      </c>
      <c r="M253">
        <v>168.316</v>
      </c>
      <c r="N253">
        <v>7.6639999999999997</v>
      </c>
      <c r="O253">
        <v>7.29</v>
      </c>
      <c r="P253">
        <v>31.11</v>
      </c>
      <c r="Q253">
        <v>82.28</v>
      </c>
      <c r="R253">
        <v>151.09</v>
      </c>
      <c r="S253">
        <v>-54.7</v>
      </c>
      <c r="T253">
        <v>1286</v>
      </c>
      <c r="U253">
        <v>1020</v>
      </c>
      <c r="V253">
        <v>-0.39500000000000002</v>
      </c>
      <c r="W253">
        <v>123.935</v>
      </c>
    </row>
    <row r="254" spans="1:23" x14ac:dyDescent="0.35">
      <c r="A254">
        <v>1150592100</v>
      </c>
      <c r="B254" t="s">
        <v>23</v>
      </c>
      <c r="C254">
        <v>2006</v>
      </c>
      <c r="D254">
        <v>6</v>
      </c>
      <c r="E254">
        <v>17</v>
      </c>
      <c r="F254">
        <v>14</v>
      </c>
      <c r="G254">
        <v>55</v>
      </c>
      <c r="H254" s="1">
        <f t="shared" si="3"/>
        <v>38885.621527777781</v>
      </c>
      <c r="I254">
        <v>110.444817</v>
      </c>
      <c r="J254">
        <v>-7.5382340000000001</v>
      </c>
      <c r="K254">
        <v>2.13</v>
      </c>
      <c r="L254">
        <v>-10</v>
      </c>
      <c r="M254">
        <v>168.316</v>
      </c>
      <c r="N254">
        <v>7.468</v>
      </c>
      <c r="O254">
        <v>7.1390000000000002</v>
      </c>
      <c r="P254">
        <v>31.11</v>
      </c>
      <c r="Q254">
        <v>82.45</v>
      </c>
      <c r="R254">
        <v>151.03</v>
      </c>
      <c r="S254">
        <v>-54.68</v>
      </c>
      <c r="T254">
        <v>1287</v>
      </c>
      <c r="U254">
        <v>1020</v>
      </c>
      <c r="V254">
        <v>-0.54</v>
      </c>
      <c r="W254">
        <v>123.89700000000001</v>
      </c>
    </row>
    <row r="255" spans="1:23" x14ac:dyDescent="0.35">
      <c r="A255">
        <v>1150602900</v>
      </c>
      <c r="B255" t="s">
        <v>22</v>
      </c>
      <c r="C255">
        <v>2006</v>
      </c>
      <c r="D255">
        <v>6</v>
      </c>
      <c r="E255">
        <v>17</v>
      </c>
      <c r="F255">
        <v>17</v>
      </c>
      <c r="G255">
        <v>55</v>
      </c>
      <c r="H255" s="1">
        <f t="shared" si="3"/>
        <v>38885.746527777781</v>
      </c>
      <c r="I255">
        <v>110.45394899999999</v>
      </c>
      <c r="J255">
        <v>-7.557118</v>
      </c>
      <c r="K255">
        <v>0.88500000000000001</v>
      </c>
      <c r="L255">
        <v>0.877</v>
      </c>
      <c r="M255">
        <v>177.292</v>
      </c>
      <c r="N255">
        <v>7.4509999999999996</v>
      </c>
      <c r="O255">
        <v>7.1719999999999997</v>
      </c>
      <c r="P255">
        <v>24.06</v>
      </c>
      <c r="Q255">
        <v>99.29</v>
      </c>
      <c r="R255">
        <v>155.44</v>
      </c>
      <c r="S255">
        <v>46.88</v>
      </c>
      <c r="T255">
        <v>951</v>
      </c>
      <c r="U255">
        <v>411</v>
      </c>
      <c r="V255">
        <v>-0.78200000000000003</v>
      </c>
      <c r="W255">
        <v>159.22800000000001</v>
      </c>
    </row>
    <row r="256" spans="1:23" x14ac:dyDescent="0.35">
      <c r="A256">
        <v>1150602900</v>
      </c>
      <c r="B256" t="s">
        <v>22</v>
      </c>
      <c r="C256">
        <v>2006</v>
      </c>
      <c r="D256">
        <v>6</v>
      </c>
      <c r="E256">
        <v>17</v>
      </c>
      <c r="F256">
        <v>17</v>
      </c>
      <c r="G256">
        <v>55</v>
      </c>
      <c r="H256" s="1">
        <f t="shared" si="3"/>
        <v>38885.746527777781</v>
      </c>
      <c r="I256">
        <v>110.457016</v>
      </c>
      <c r="J256">
        <v>-7.547688</v>
      </c>
      <c r="K256">
        <v>0.77800000000000002</v>
      </c>
      <c r="L256">
        <v>0.91400000000000003</v>
      </c>
      <c r="M256">
        <v>177.292</v>
      </c>
      <c r="N256">
        <v>7.1769999999999996</v>
      </c>
      <c r="O256">
        <v>6.968</v>
      </c>
      <c r="P256">
        <v>24.06</v>
      </c>
      <c r="Q256">
        <v>99.52</v>
      </c>
      <c r="R256">
        <v>155.44</v>
      </c>
      <c r="S256">
        <v>46.87</v>
      </c>
      <c r="T256">
        <v>950</v>
      </c>
      <c r="U256">
        <v>411</v>
      </c>
      <c r="V256">
        <v>-0.76800000000000002</v>
      </c>
      <c r="W256">
        <v>159.13499999999999</v>
      </c>
    </row>
    <row r="257" spans="1:23" x14ac:dyDescent="0.35">
      <c r="A257">
        <v>1150602900</v>
      </c>
      <c r="B257" t="s">
        <v>22</v>
      </c>
      <c r="C257">
        <v>2006</v>
      </c>
      <c r="D257">
        <v>6</v>
      </c>
      <c r="E257">
        <v>17</v>
      </c>
      <c r="F257">
        <v>17</v>
      </c>
      <c r="G257">
        <v>55</v>
      </c>
      <c r="H257" s="1">
        <f t="shared" si="3"/>
        <v>38885.746527777781</v>
      </c>
      <c r="I257">
        <v>110.447433</v>
      </c>
      <c r="J257">
        <v>-7.5461999999999998</v>
      </c>
      <c r="K257">
        <v>0.89200000000000002</v>
      </c>
      <c r="L257">
        <v>0.96799999999999997</v>
      </c>
      <c r="M257">
        <v>177.292</v>
      </c>
      <c r="N257">
        <v>6.9619999999999997</v>
      </c>
      <c r="O257">
        <v>6.7439999999999998</v>
      </c>
      <c r="P257">
        <v>24.17</v>
      </c>
      <c r="Q257">
        <v>99.52</v>
      </c>
      <c r="R257">
        <v>155.44</v>
      </c>
      <c r="S257">
        <v>46.86</v>
      </c>
      <c r="T257">
        <v>950</v>
      </c>
      <c r="U257">
        <v>410</v>
      </c>
      <c r="V257">
        <v>-0.749</v>
      </c>
      <c r="W257">
        <v>159.08600000000001</v>
      </c>
    </row>
    <row r="258" spans="1:23" x14ac:dyDescent="0.35">
      <c r="A258">
        <v>1150602900</v>
      </c>
      <c r="B258" t="s">
        <v>22</v>
      </c>
      <c r="C258">
        <v>2006</v>
      </c>
      <c r="D258">
        <v>6</v>
      </c>
      <c r="E258">
        <v>17</v>
      </c>
      <c r="F258">
        <v>17</v>
      </c>
      <c r="G258">
        <v>55</v>
      </c>
      <c r="H258" s="1">
        <f t="shared" ref="H258:H321" si="4">(A258+2209125600)/86400</f>
        <v>38885.746527777781</v>
      </c>
      <c r="I258">
        <v>110.453575</v>
      </c>
      <c r="J258">
        <v>-7.5435499999999998</v>
      </c>
      <c r="K258">
        <v>1.093</v>
      </c>
      <c r="L258">
        <v>1.083</v>
      </c>
      <c r="M258">
        <v>177.292</v>
      </c>
      <c r="N258">
        <v>7.0140000000000002</v>
      </c>
      <c r="O258">
        <v>6.7919999999999998</v>
      </c>
      <c r="P258">
        <v>24.17</v>
      </c>
      <c r="Q258">
        <v>97.52</v>
      </c>
      <c r="R258">
        <v>155.44</v>
      </c>
      <c r="S258">
        <v>46.86</v>
      </c>
      <c r="T258">
        <v>949</v>
      </c>
      <c r="U258">
        <v>410</v>
      </c>
      <c r="V258">
        <v>-0.72499999999999998</v>
      </c>
      <c r="W258">
        <v>159.83500000000001</v>
      </c>
    </row>
    <row r="259" spans="1:23" x14ac:dyDescent="0.35">
      <c r="A259">
        <v>1150764300</v>
      </c>
      <c r="B259" t="s">
        <v>23</v>
      </c>
      <c r="C259">
        <v>2006</v>
      </c>
      <c r="D259">
        <v>6</v>
      </c>
      <c r="E259">
        <v>19</v>
      </c>
      <c r="F259">
        <v>14</v>
      </c>
      <c r="G259">
        <v>45</v>
      </c>
      <c r="H259" s="1">
        <f t="shared" si="4"/>
        <v>38887.614583333336</v>
      </c>
      <c r="I259">
        <v>110.44856299999999</v>
      </c>
      <c r="J259">
        <v>-7.5461349999999996</v>
      </c>
      <c r="K259">
        <v>1.343</v>
      </c>
      <c r="L259">
        <v>1.337</v>
      </c>
      <c r="M259">
        <v>168.316</v>
      </c>
      <c r="N259">
        <v>7.6509999999999998</v>
      </c>
      <c r="O259">
        <v>7.2629999999999999</v>
      </c>
      <c r="P259">
        <v>50.13</v>
      </c>
      <c r="Q259">
        <v>82.51</v>
      </c>
      <c r="R259">
        <v>148.44999999999999</v>
      </c>
      <c r="S259">
        <v>-56.74</v>
      </c>
      <c r="T259">
        <v>375</v>
      </c>
      <c r="U259">
        <v>1215</v>
      </c>
      <c r="V259">
        <v>-0.68899999999999995</v>
      </c>
      <c r="W259">
        <v>103.858</v>
      </c>
    </row>
    <row r="260" spans="1:23" x14ac:dyDescent="0.35">
      <c r="A260">
        <v>1150775100</v>
      </c>
      <c r="B260" t="s">
        <v>22</v>
      </c>
      <c r="C260">
        <v>2006</v>
      </c>
      <c r="D260">
        <v>6</v>
      </c>
      <c r="E260">
        <v>19</v>
      </c>
      <c r="F260">
        <v>17</v>
      </c>
      <c r="G260">
        <v>45</v>
      </c>
      <c r="H260" s="1">
        <f t="shared" si="4"/>
        <v>38887.739583333336</v>
      </c>
      <c r="I260">
        <v>110.459419</v>
      </c>
      <c r="J260">
        <v>-7.5468440000000001</v>
      </c>
      <c r="K260">
        <v>0.90600000000000003</v>
      </c>
      <c r="L260">
        <v>0.97799999999999998</v>
      </c>
      <c r="M260">
        <v>177.29599999999999</v>
      </c>
      <c r="N260">
        <v>7.641</v>
      </c>
      <c r="O260">
        <v>7.2190000000000003</v>
      </c>
      <c r="P260">
        <v>45.21</v>
      </c>
      <c r="Q260">
        <v>99.06</v>
      </c>
      <c r="R260">
        <v>157.62</v>
      </c>
      <c r="S260">
        <v>42.87</v>
      </c>
      <c r="T260">
        <v>64</v>
      </c>
      <c r="U260">
        <v>186</v>
      </c>
      <c r="V260">
        <v>-0.76100000000000001</v>
      </c>
      <c r="W260">
        <v>143.29599999999999</v>
      </c>
    </row>
    <row r="261" spans="1:23" x14ac:dyDescent="0.35">
      <c r="A261">
        <v>1150775100</v>
      </c>
      <c r="B261" t="s">
        <v>22</v>
      </c>
      <c r="C261">
        <v>2006</v>
      </c>
      <c r="D261">
        <v>6</v>
      </c>
      <c r="E261">
        <v>19</v>
      </c>
      <c r="F261">
        <v>17</v>
      </c>
      <c r="G261">
        <v>45</v>
      </c>
      <c r="H261" s="1">
        <f t="shared" si="4"/>
        <v>38887.739583333336</v>
      </c>
      <c r="I261">
        <v>110.444901</v>
      </c>
      <c r="J261">
        <v>-7.5444950000000004</v>
      </c>
      <c r="K261">
        <v>1.8080000000000001</v>
      </c>
      <c r="L261">
        <v>1.7789999999999999</v>
      </c>
      <c r="M261">
        <v>177.29599999999999</v>
      </c>
      <c r="N261">
        <v>7.585</v>
      </c>
      <c r="O261">
        <v>7.2110000000000003</v>
      </c>
      <c r="P261">
        <v>45.43</v>
      </c>
      <c r="Q261">
        <v>99.06</v>
      </c>
      <c r="R261">
        <v>157.62</v>
      </c>
      <c r="S261">
        <v>42.85</v>
      </c>
      <c r="T261">
        <v>64</v>
      </c>
      <c r="U261">
        <v>185</v>
      </c>
      <c r="V261">
        <v>-0.60399999999999998</v>
      </c>
      <c r="W261">
        <v>143.09399999999999</v>
      </c>
    </row>
    <row r="262" spans="1:23" x14ac:dyDescent="0.35">
      <c r="A262">
        <v>1150853100</v>
      </c>
      <c r="B262" t="s">
        <v>23</v>
      </c>
      <c r="C262">
        <v>2006</v>
      </c>
      <c r="D262">
        <v>6</v>
      </c>
      <c r="E262">
        <v>20</v>
      </c>
      <c r="F262">
        <v>15</v>
      </c>
      <c r="G262">
        <v>25</v>
      </c>
      <c r="H262" s="1">
        <f t="shared" si="4"/>
        <v>38888.642361111109</v>
      </c>
      <c r="I262">
        <v>110.441444</v>
      </c>
      <c r="J262">
        <v>-7.5430619999999999</v>
      </c>
      <c r="K262">
        <v>1.151</v>
      </c>
      <c r="L262">
        <v>1.242</v>
      </c>
      <c r="M262">
        <v>168.31700000000001</v>
      </c>
      <c r="N262">
        <v>7.0110000000000001</v>
      </c>
      <c r="O262">
        <v>6.6740000000000004</v>
      </c>
      <c r="P262">
        <v>36.26</v>
      </c>
      <c r="Q262">
        <v>-99.41</v>
      </c>
      <c r="R262">
        <v>156.69999999999999</v>
      </c>
      <c r="S262">
        <v>-46.38</v>
      </c>
      <c r="T262">
        <v>1539</v>
      </c>
      <c r="U262">
        <v>279</v>
      </c>
      <c r="V262">
        <v>-0.68600000000000005</v>
      </c>
      <c r="W262">
        <v>151.804</v>
      </c>
    </row>
    <row r="263" spans="1:23" x14ac:dyDescent="0.35">
      <c r="A263">
        <v>1150853100</v>
      </c>
      <c r="B263" t="s">
        <v>23</v>
      </c>
      <c r="C263">
        <v>2006</v>
      </c>
      <c r="D263">
        <v>6</v>
      </c>
      <c r="E263">
        <v>20</v>
      </c>
      <c r="F263">
        <v>15</v>
      </c>
      <c r="G263">
        <v>25</v>
      </c>
      <c r="H263" s="1">
        <f t="shared" si="4"/>
        <v>38888.642361111109</v>
      </c>
      <c r="I263">
        <v>110.45468099999999</v>
      </c>
      <c r="J263">
        <v>-7.5409810000000004</v>
      </c>
      <c r="K263">
        <v>1.17</v>
      </c>
      <c r="L263">
        <v>1.05</v>
      </c>
      <c r="M263">
        <v>168.31700000000001</v>
      </c>
      <c r="N263">
        <v>6.7880000000000003</v>
      </c>
      <c r="O263">
        <v>6.4429999999999996</v>
      </c>
      <c r="P263">
        <v>36.479999999999997</v>
      </c>
      <c r="Q263">
        <v>-99.41</v>
      </c>
      <c r="R263">
        <v>156.69999999999999</v>
      </c>
      <c r="S263">
        <v>-46.36</v>
      </c>
      <c r="T263">
        <v>1539</v>
      </c>
      <c r="U263">
        <v>278</v>
      </c>
      <c r="V263">
        <v>-0.72</v>
      </c>
      <c r="W263">
        <v>151.63200000000001</v>
      </c>
    </row>
    <row r="264" spans="1:23" x14ac:dyDescent="0.35">
      <c r="A264">
        <v>1150853100</v>
      </c>
      <c r="B264" t="s">
        <v>23</v>
      </c>
      <c r="C264">
        <v>2006</v>
      </c>
      <c r="D264">
        <v>6</v>
      </c>
      <c r="E264">
        <v>20</v>
      </c>
      <c r="F264">
        <v>15</v>
      </c>
      <c r="G264">
        <v>25</v>
      </c>
      <c r="H264" s="1">
        <f t="shared" si="4"/>
        <v>38888.642361111109</v>
      </c>
      <c r="I264">
        <v>110.447273</v>
      </c>
      <c r="J264">
        <v>-7.5388799999999998</v>
      </c>
      <c r="K264">
        <v>1.34</v>
      </c>
      <c r="L264">
        <v>1.395</v>
      </c>
      <c r="M264">
        <v>168.31700000000001</v>
      </c>
      <c r="N264">
        <v>6.77</v>
      </c>
      <c r="O264">
        <v>6.4279999999999999</v>
      </c>
      <c r="P264">
        <v>36.479999999999997</v>
      </c>
      <c r="Q264">
        <v>-98.15</v>
      </c>
      <c r="R264">
        <v>156.69999999999999</v>
      </c>
      <c r="S264">
        <v>-46.37</v>
      </c>
      <c r="T264">
        <v>1541</v>
      </c>
      <c r="U264">
        <v>278</v>
      </c>
      <c r="V264">
        <v>-0.64300000000000002</v>
      </c>
      <c r="W264">
        <v>152.14699999999999</v>
      </c>
    </row>
    <row r="265" spans="1:23" x14ac:dyDescent="0.35">
      <c r="A265">
        <v>1151025300</v>
      </c>
      <c r="B265" t="s">
        <v>23</v>
      </c>
      <c r="C265">
        <v>2006</v>
      </c>
      <c r="D265">
        <v>6</v>
      </c>
      <c r="E265">
        <v>22</v>
      </c>
      <c r="F265">
        <v>15</v>
      </c>
      <c r="G265">
        <v>15</v>
      </c>
      <c r="H265" s="1">
        <f t="shared" si="4"/>
        <v>38890.635416666664</v>
      </c>
      <c r="I265">
        <v>110.448128</v>
      </c>
      <c r="J265">
        <v>-7.5487970000000004</v>
      </c>
      <c r="K265">
        <v>2.1110000000000002</v>
      </c>
      <c r="L265">
        <v>-10</v>
      </c>
      <c r="M265">
        <v>168.316</v>
      </c>
      <c r="N265">
        <v>7.5880000000000001</v>
      </c>
      <c r="O265">
        <v>7.0839999999999996</v>
      </c>
      <c r="P265">
        <v>11.08</v>
      </c>
      <c r="Q265">
        <v>-97.29</v>
      </c>
      <c r="R265">
        <v>154.41</v>
      </c>
      <c r="S265">
        <v>-49.76</v>
      </c>
      <c r="T265">
        <v>643</v>
      </c>
      <c r="U265">
        <v>554</v>
      </c>
      <c r="V265">
        <v>-0.54100000000000004</v>
      </c>
      <c r="W265">
        <v>159.97800000000001</v>
      </c>
    </row>
    <row r="266" spans="1:23" x14ac:dyDescent="0.35">
      <c r="A266">
        <v>1151025300</v>
      </c>
      <c r="B266" t="s">
        <v>23</v>
      </c>
      <c r="C266">
        <v>2006</v>
      </c>
      <c r="D266">
        <v>6</v>
      </c>
      <c r="E266">
        <v>22</v>
      </c>
      <c r="F266">
        <v>15</v>
      </c>
      <c r="G266">
        <v>15</v>
      </c>
      <c r="H266" s="1">
        <f t="shared" si="4"/>
        <v>38890.635416666664</v>
      </c>
      <c r="I266">
        <v>110.446251</v>
      </c>
      <c r="J266">
        <v>-7.5397780000000001</v>
      </c>
      <c r="K266">
        <v>4.8550000000000004</v>
      </c>
      <c r="L266">
        <v>-10</v>
      </c>
      <c r="M266">
        <v>168.316</v>
      </c>
      <c r="N266">
        <v>7.3150000000000004</v>
      </c>
      <c r="O266">
        <v>6.9249999999999998</v>
      </c>
      <c r="P266">
        <v>11.08</v>
      </c>
      <c r="Q266">
        <v>-97.75</v>
      </c>
      <c r="R266">
        <v>154.41</v>
      </c>
      <c r="S266">
        <v>-49.75</v>
      </c>
      <c r="T266">
        <v>644</v>
      </c>
      <c r="U266">
        <v>554</v>
      </c>
      <c r="V266">
        <v>-0.17599999999999999</v>
      </c>
      <c r="W266">
        <v>159.887</v>
      </c>
    </row>
    <row r="267" spans="1:23" x14ac:dyDescent="0.35">
      <c r="A267">
        <v>1151036100</v>
      </c>
      <c r="B267" t="s">
        <v>22</v>
      </c>
      <c r="C267">
        <v>2006</v>
      </c>
      <c r="D267">
        <v>6</v>
      </c>
      <c r="E267">
        <v>22</v>
      </c>
      <c r="F267">
        <v>18</v>
      </c>
      <c r="G267">
        <v>15</v>
      </c>
      <c r="H267" s="1">
        <f t="shared" si="4"/>
        <v>38890.760416666664</v>
      </c>
      <c r="I267">
        <v>110.458206</v>
      </c>
      <c r="J267">
        <v>-7.541328</v>
      </c>
      <c r="K267">
        <v>1.756</v>
      </c>
      <c r="L267">
        <v>1.8480000000000001</v>
      </c>
      <c r="M267">
        <v>177.30099999999999</v>
      </c>
      <c r="N267">
        <v>6.9119999999999999</v>
      </c>
      <c r="O267">
        <v>6.5250000000000004</v>
      </c>
      <c r="P267">
        <v>19.25</v>
      </c>
      <c r="Q267">
        <v>-81.42</v>
      </c>
      <c r="R267">
        <v>152.06</v>
      </c>
      <c r="S267">
        <v>52.4</v>
      </c>
      <c r="T267">
        <v>336</v>
      </c>
      <c r="U267">
        <v>890</v>
      </c>
      <c r="V267">
        <v>-0.55900000000000005</v>
      </c>
      <c r="W267">
        <v>136.828</v>
      </c>
    </row>
    <row r="268" spans="1:23" x14ac:dyDescent="0.35">
      <c r="A268">
        <v>1151036100</v>
      </c>
      <c r="B268" t="s">
        <v>22</v>
      </c>
      <c r="C268">
        <v>2006</v>
      </c>
      <c r="D268">
        <v>6</v>
      </c>
      <c r="E268">
        <v>22</v>
      </c>
      <c r="F268">
        <v>18</v>
      </c>
      <c r="G268">
        <v>15</v>
      </c>
      <c r="H268" s="1">
        <f t="shared" si="4"/>
        <v>38890.760416666664</v>
      </c>
      <c r="I268">
        <v>110.447372</v>
      </c>
      <c r="J268">
        <v>-7.5397679999999996</v>
      </c>
      <c r="K268">
        <v>3.149</v>
      </c>
      <c r="L268">
        <v>-10</v>
      </c>
      <c r="M268">
        <v>177.30099999999999</v>
      </c>
      <c r="N268">
        <v>6.9770000000000003</v>
      </c>
      <c r="O268">
        <v>6.6260000000000003</v>
      </c>
      <c r="P268">
        <v>19.25</v>
      </c>
      <c r="Q268">
        <v>-81.42</v>
      </c>
      <c r="R268">
        <v>152.12</v>
      </c>
      <c r="S268">
        <v>52.39</v>
      </c>
      <c r="T268">
        <v>336</v>
      </c>
      <c r="U268">
        <v>889</v>
      </c>
      <c r="V268">
        <v>-0.35599999999999998</v>
      </c>
      <c r="W268">
        <v>136.83799999999999</v>
      </c>
    </row>
    <row r="269" spans="1:23" x14ac:dyDescent="0.35">
      <c r="A269">
        <v>1151197200</v>
      </c>
      <c r="B269" t="s">
        <v>23</v>
      </c>
      <c r="C269">
        <v>2006</v>
      </c>
      <c r="D269">
        <v>6</v>
      </c>
      <c r="E269">
        <v>24</v>
      </c>
      <c r="F269">
        <v>15</v>
      </c>
      <c r="G269">
        <v>0</v>
      </c>
      <c r="H269" s="1">
        <f t="shared" si="4"/>
        <v>38892.625</v>
      </c>
      <c r="I269">
        <v>110.448105</v>
      </c>
      <c r="J269">
        <v>-7.5494139999999996</v>
      </c>
      <c r="K269">
        <v>0.78900000000000003</v>
      </c>
      <c r="L269">
        <v>0.83099999999999996</v>
      </c>
      <c r="M269">
        <v>168.30500000000001</v>
      </c>
      <c r="N269">
        <v>7.3330000000000002</v>
      </c>
      <c r="O269">
        <v>6.9909999999999997</v>
      </c>
      <c r="P269">
        <v>18.350000000000001</v>
      </c>
      <c r="Q269">
        <v>81.59</v>
      </c>
      <c r="R269">
        <v>152.01</v>
      </c>
      <c r="S269">
        <v>-53.88</v>
      </c>
      <c r="T269">
        <v>1764</v>
      </c>
      <c r="U269">
        <v>880</v>
      </c>
      <c r="V269">
        <v>-0.78800000000000003</v>
      </c>
      <c r="W269">
        <v>136.28</v>
      </c>
    </row>
    <row r="270" spans="1:23" x14ac:dyDescent="0.35">
      <c r="A270">
        <v>1151197200</v>
      </c>
      <c r="B270" t="s">
        <v>23</v>
      </c>
      <c r="C270">
        <v>2006</v>
      </c>
      <c r="D270">
        <v>6</v>
      </c>
      <c r="E270">
        <v>24</v>
      </c>
      <c r="F270">
        <v>15</v>
      </c>
      <c r="G270">
        <v>0</v>
      </c>
      <c r="H270" s="1">
        <f t="shared" si="4"/>
        <v>38892.625</v>
      </c>
      <c r="I270">
        <v>110.44783</v>
      </c>
      <c r="J270">
        <v>-7.5398880000000004</v>
      </c>
      <c r="K270">
        <v>1.0880000000000001</v>
      </c>
      <c r="L270">
        <v>1.095</v>
      </c>
      <c r="M270">
        <v>168.30500000000001</v>
      </c>
      <c r="N270">
        <v>7.2430000000000003</v>
      </c>
      <c r="O270">
        <v>6.9210000000000003</v>
      </c>
      <c r="P270">
        <v>18.350000000000001</v>
      </c>
      <c r="Q270">
        <v>81.88</v>
      </c>
      <c r="R270">
        <v>152.01</v>
      </c>
      <c r="S270">
        <v>-53.87</v>
      </c>
      <c r="T270">
        <v>1765</v>
      </c>
      <c r="U270">
        <v>880</v>
      </c>
      <c r="V270">
        <v>-0.72699999999999998</v>
      </c>
      <c r="W270">
        <v>136.232</v>
      </c>
    </row>
    <row r="271" spans="1:23" x14ac:dyDescent="0.35">
      <c r="A271">
        <v>1151208000</v>
      </c>
      <c r="B271" t="s">
        <v>22</v>
      </c>
      <c r="C271">
        <v>2006</v>
      </c>
      <c r="D271">
        <v>6</v>
      </c>
      <c r="E271">
        <v>24</v>
      </c>
      <c r="F271">
        <v>18</v>
      </c>
      <c r="G271">
        <v>0</v>
      </c>
      <c r="H271" s="1">
        <f t="shared" si="4"/>
        <v>38892.75</v>
      </c>
      <c r="I271">
        <v>110.448662</v>
      </c>
      <c r="J271">
        <v>-7.5383950000000004</v>
      </c>
      <c r="K271">
        <v>1.107</v>
      </c>
      <c r="L271">
        <v>1.0509999999999999</v>
      </c>
      <c r="M271">
        <v>177.30500000000001</v>
      </c>
      <c r="N271">
        <v>7.0650000000000004</v>
      </c>
      <c r="O271">
        <v>6.7910000000000004</v>
      </c>
      <c r="P271">
        <v>10.130000000000001</v>
      </c>
      <c r="Q271">
        <v>97.4</v>
      </c>
      <c r="R271">
        <v>154.53</v>
      </c>
      <c r="S271">
        <v>47.99</v>
      </c>
      <c r="T271">
        <v>1486</v>
      </c>
      <c r="U271">
        <v>564</v>
      </c>
      <c r="V271">
        <v>-0.73199999999999998</v>
      </c>
      <c r="W271">
        <v>160.34299999999999</v>
      </c>
    </row>
    <row r="272" spans="1:23" x14ac:dyDescent="0.35">
      <c r="A272">
        <v>1151369400</v>
      </c>
      <c r="B272" t="s">
        <v>23</v>
      </c>
      <c r="C272">
        <v>2006</v>
      </c>
      <c r="D272">
        <v>6</v>
      </c>
      <c r="E272">
        <v>26</v>
      </c>
      <c r="F272">
        <v>14</v>
      </c>
      <c r="G272">
        <v>50</v>
      </c>
      <c r="H272" s="1">
        <f t="shared" si="4"/>
        <v>38894.618055555555</v>
      </c>
      <c r="I272">
        <v>110.434601</v>
      </c>
      <c r="J272">
        <v>-7.5408150000000003</v>
      </c>
      <c r="K272">
        <v>0.98699999999999999</v>
      </c>
      <c r="L272">
        <v>1.0740000000000001</v>
      </c>
      <c r="M272">
        <v>168.30500000000001</v>
      </c>
      <c r="N272">
        <v>7.2560000000000002</v>
      </c>
      <c r="O272">
        <v>6.9630000000000001</v>
      </c>
      <c r="P272">
        <v>41.63</v>
      </c>
      <c r="Q272">
        <v>82.16</v>
      </c>
      <c r="R272">
        <v>149.43</v>
      </c>
      <c r="S272">
        <v>-56.21</v>
      </c>
      <c r="T272">
        <v>854</v>
      </c>
      <c r="U272">
        <v>1130</v>
      </c>
      <c r="V272">
        <v>-0.73299999999999998</v>
      </c>
      <c r="W272">
        <v>112.655</v>
      </c>
    </row>
    <row r="273" spans="1:23" x14ac:dyDescent="0.35">
      <c r="A273">
        <v>1151380200</v>
      </c>
      <c r="B273" t="s">
        <v>22</v>
      </c>
      <c r="C273">
        <v>2006</v>
      </c>
      <c r="D273">
        <v>6</v>
      </c>
      <c r="E273">
        <v>26</v>
      </c>
      <c r="F273">
        <v>17</v>
      </c>
      <c r="G273">
        <v>50</v>
      </c>
      <c r="H273" s="1">
        <f t="shared" si="4"/>
        <v>38894.743055555555</v>
      </c>
      <c r="I273">
        <v>110.446083</v>
      </c>
      <c r="J273">
        <v>-7.5427169999999997</v>
      </c>
      <c r="K273">
        <v>1.4990000000000001</v>
      </c>
      <c r="L273">
        <v>1.476</v>
      </c>
      <c r="M273">
        <v>177.30799999999999</v>
      </c>
      <c r="N273">
        <v>7.3849999999999998</v>
      </c>
      <c r="O273">
        <v>7.0759999999999996</v>
      </c>
      <c r="P273">
        <v>35.81</v>
      </c>
      <c r="Q273">
        <v>98.26</v>
      </c>
      <c r="R273">
        <v>156.88</v>
      </c>
      <c r="S273">
        <v>44.39</v>
      </c>
      <c r="T273">
        <v>598</v>
      </c>
      <c r="U273">
        <v>285</v>
      </c>
      <c r="V273">
        <v>-0.65500000000000003</v>
      </c>
      <c r="W273">
        <v>151.798</v>
      </c>
    </row>
    <row r="274" spans="1:23" x14ac:dyDescent="0.35">
      <c r="A274">
        <v>1151458200</v>
      </c>
      <c r="B274" t="s">
        <v>23</v>
      </c>
      <c r="C274">
        <v>2006</v>
      </c>
      <c r="D274">
        <v>6</v>
      </c>
      <c r="E274">
        <v>27</v>
      </c>
      <c r="F274">
        <v>15</v>
      </c>
      <c r="G274">
        <v>30</v>
      </c>
      <c r="H274" s="1">
        <f t="shared" si="4"/>
        <v>38895.645833333336</v>
      </c>
      <c r="I274">
        <v>110.45845799999999</v>
      </c>
      <c r="J274">
        <v>-7.5480010000000002</v>
      </c>
      <c r="K274">
        <v>1.091</v>
      </c>
      <c r="L274">
        <v>1.0900000000000001</v>
      </c>
      <c r="M274">
        <v>168.30500000000001</v>
      </c>
      <c r="N274">
        <v>7.3920000000000003</v>
      </c>
      <c r="O274">
        <v>7.0389999999999997</v>
      </c>
      <c r="P274">
        <v>45.88</v>
      </c>
      <c r="Q274">
        <v>-98.78</v>
      </c>
      <c r="R274">
        <v>157.62</v>
      </c>
      <c r="S274">
        <v>-45.35</v>
      </c>
      <c r="T274">
        <v>2013</v>
      </c>
      <c r="U274">
        <v>180</v>
      </c>
      <c r="V274">
        <v>-0.73199999999999998</v>
      </c>
      <c r="W274">
        <v>143.946</v>
      </c>
    </row>
    <row r="275" spans="1:23" x14ac:dyDescent="0.35">
      <c r="A275">
        <v>1151458200</v>
      </c>
      <c r="B275" t="s">
        <v>23</v>
      </c>
      <c r="C275">
        <v>2006</v>
      </c>
      <c r="D275">
        <v>6</v>
      </c>
      <c r="E275">
        <v>27</v>
      </c>
      <c r="F275">
        <v>15</v>
      </c>
      <c r="G275">
        <v>30</v>
      </c>
      <c r="H275" s="1">
        <f t="shared" si="4"/>
        <v>38895.645833333336</v>
      </c>
      <c r="I275">
        <v>110.45315600000001</v>
      </c>
      <c r="J275">
        <v>-7.5362970000000002</v>
      </c>
      <c r="K275">
        <v>0.92100000000000004</v>
      </c>
      <c r="L275">
        <v>0.92400000000000004</v>
      </c>
      <c r="M275">
        <v>168.30500000000001</v>
      </c>
      <c r="N275">
        <v>7.2830000000000004</v>
      </c>
      <c r="O275">
        <v>6.9320000000000004</v>
      </c>
      <c r="P275">
        <v>45.88</v>
      </c>
      <c r="Q275">
        <v>-98.89</v>
      </c>
      <c r="R275">
        <v>157.62</v>
      </c>
      <c r="S275">
        <v>-45.34</v>
      </c>
      <c r="T275">
        <v>2014</v>
      </c>
      <c r="U275">
        <v>180</v>
      </c>
      <c r="V275">
        <v>-0.76500000000000001</v>
      </c>
      <c r="W275">
        <v>143.899</v>
      </c>
    </row>
    <row r="276" spans="1:23" x14ac:dyDescent="0.35">
      <c r="A276">
        <v>1151469000</v>
      </c>
      <c r="B276" t="s">
        <v>22</v>
      </c>
      <c r="C276">
        <v>2006</v>
      </c>
      <c r="D276">
        <v>6</v>
      </c>
      <c r="E276">
        <v>27</v>
      </c>
      <c r="F276">
        <v>18</v>
      </c>
      <c r="G276">
        <v>30</v>
      </c>
      <c r="H276" s="1">
        <f t="shared" si="4"/>
        <v>38895.770833333336</v>
      </c>
      <c r="I276">
        <v>110.464493</v>
      </c>
      <c r="J276">
        <v>-7.5403029999999998</v>
      </c>
      <c r="K276">
        <v>0.79500000000000004</v>
      </c>
      <c r="L276">
        <v>0.79</v>
      </c>
      <c r="M276">
        <v>177.31</v>
      </c>
      <c r="N276">
        <v>7.2359999999999998</v>
      </c>
      <c r="O276">
        <v>6.9119999999999999</v>
      </c>
      <c r="P276">
        <v>50.58</v>
      </c>
      <c r="Q276">
        <v>-82.33</v>
      </c>
      <c r="R276">
        <v>148.63</v>
      </c>
      <c r="S276">
        <v>55.82</v>
      </c>
      <c r="T276">
        <v>1766</v>
      </c>
      <c r="U276">
        <v>1220</v>
      </c>
      <c r="V276">
        <v>-0.79500000000000004</v>
      </c>
      <c r="W276">
        <v>104.789</v>
      </c>
    </row>
    <row r="277" spans="1:23" x14ac:dyDescent="0.35">
      <c r="A277">
        <v>1151541300</v>
      </c>
      <c r="B277" t="s">
        <v>23</v>
      </c>
      <c r="C277">
        <v>2006</v>
      </c>
      <c r="D277">
        <v>6</v>
      </c>
      <c r="E277">
        <v>28</v>
      </c>
      <c r="F277">
        <v>14</v>
      </c>
      <c r="G277">
        <v>35</v>
      </c>
      <c r="H277" s="1">
        <f t="shared" si="4"/>
        <v>38896.607638888891</v>
      </c>
      <c r="I277">
        <v>110.427696</v>
      </c>
      <c r="J277">
        <v>-7.5435660000000002</v>
      </c>
      <c r="K277">
        <v>1.982</v>
      </c>
      <c r="L277">
        <v>-10</v>
      </c>
      <c r="M277">
        <v>168.30500000000001</v>
      </c>
      <c r="N277">
        <v>7.4980000000000002</v>
      </c>
      <c r="O277">
        <v>7.1559999999999997</v>
      </c>
      <c r="P277">
        <v>56.62</v>
      </c>
      <c r="Q277">
        <v>82.39</v>
      </c>
      <c r="R277">
        <v>146.85</v>
      </c>
      <c r="S277">
        <v>-59.05</v>
      </c>
      <c r="T277">
        <v>1982</v>
      </c>
      <c r="U277">
        <v>1279</v>
      </c>
      <c r="V277">
        <v>-0.56599999999999995</v>
      </c>
      <c r="W277">
        <v>95.058999999999997</v>
      </c>
    </row>
    <row r="278" spans="1:23" x14ac:dyDescent="0.35">
      <c r="A278">
        <v>1151541300</v>
      </c>
      <c r="B278" t="s">
        <v>23</v>
      </c>
      <c r="C278">
        <v>2006</v>
      </c>
      <c r="D278">
        <v>6</v>
      </c>
      <c r="E278">
        <v>28</v>
      </c>
      <c r="F278">
        <v>14</v>
      </c>
      <c r="G278">
        <v>35</v>
      </c>
      <c r="H278" s="1">
        <f t="shared" si="4"/>
        <v>38896.607638888891</v>
      </c>
      <c r="I278">
        <v>110.44354199999999</v>
      </c>
      <c r="J278">
        <v>-7.5420150000000001</v>
      </c>
      <c r="K278">
        <v>2.3730000000000002</v>
      </c>
      <c r="L278">
        <v>-10</v>
      </c>
      <c r="M278">
        <v>168.30500000000001</v>
      </c>
      <c r="N278">
        <v>7.4480000000000004</v>
      </c>
      <c r="O278">
        <v>7.101</v>
      </c>
      <c r="P278">
        <v>56.62</v>
      </c>
      <c r="Q278">
        <v>83.02</v>
      </c>
      <c r="R278">
        <v>146.85</v>
      </c>
      <c r="S278">
        <v>-59.04</v>
      </c>
      <c r="T278">
        <v>1978</v>
      </c>
      <c r="U278">
        <v>1279</v>
      </c>
      <c r="V278">
        <v>-0.499</v>
      </c>
      <c r="W278">
        <v>94.888999999999996</v>
      </c>
    </row>
    <row r="279" spans="1:23" x14ac:dyDescent="0.35">
      <c r="A279">
        <v>1151552100</v>
      </c>
      <c r="B279" t="s">
        <v>22</v>
      </c>
      <c r="C279">
        <v>2006</v>
      </c>
      <c r="D279">
        <v>6</v>
      </c>
      <c r="E279">
        <v>28</v>
      </c>
      <c r="F279">
        <v>17</v>
      </c>
      <c r="G279">
        <v>35</v>
      </c>
      <c r="H279" s="1">
        <f t="shared" si="4"/>
        <v>38896.732638888891</v>
      </c>
      <c r="I279">
        <v>110.464523</v>
      </c>
      <c r="J279">
        <v>-7.5401049999999996</v>
      </c>
      <c r="K279">
        <v>0.91300000000000003</v>
      </c>
      <c r="L279">
        <v>0.97799999999999998</v>
      </c>
      <c r="M279">
        <v>177.31200000000001</v>
      </c>
      <c r="N279">
        <v>7.2519999999999998</v>
      </c>
      <c r="O279">
        <v>6.9210000000000003</v>
      </c>
      <c r="P279">
        <v>52.82</v>
      </c>
      <c r="Q279">
        <v>99.41</v>
      </c>
      <c r="R279">
        <v>159</v>
      </c>
      <c r="S279">
        <v>37.81</v>
      </c>
      <c r="T279">
        <v>1743</v>
      </c>
      <c r="U279">
        <v>112</v>
      </c>
      <c r="V279">
        <v>-0.752</v>
      </c>
      <c r="W279">
        <v>134.29</v>
      </c>
    </row>
    <row r="280" spans="1:23" x14ac:dyDescent="0.35">
      <c r="A280">
        <v>1151552100</v>
      </c>
      <c r="B280" t="s">
        <v>22</v>
      </c>
      <c r="C280">
        <v>2006</v>
      </c>
      <c r="D280">
        <v>6</v>
      </c>
      <c r="E280">
        <v>28</v>
      </c>
      <c r="F280">
        <v>17</v>
      </c>
      <c r="G280">
        <v>35</v>
      </c>
      <c r="H280" s="1">
        <f t="shared" si="4"/>
        <v>38896.732638888891</v>
      </c>
      <c r="I280">
        <v>110.44802900000001</v>
      </c>
      <c r="J280">
        <v>-7.5373580000000002</v>
      </c>
      <c r="K280">
        <v>2.452</v>
      </c>
      <c r="L280">
        <v>-10</v>
      </c>
      <c r="M280">
        <v>177.31200000000001</v>
      </c>
      <c r="N280">
        <v>7.5250000000000004</v>
      </c>
      <c r="O280">
        <v>7.1669999999999998</v>
      </c>
      <c r="P280">
        <v>52.82</v>
      </c>
      <c r="Q280">
        <v>99.41</v>
      </c>
      <c r="R280">
        <v>159.05000000000001</v>
      </c>
      <c r="S280">
        <v>37.770000000000003</v>
      </c>
      <c r="T280">
        <v>1743</v>
      </c>
      <c r="U280">
        <v>111</v>
      </c>
      <c r="V280">
        <v>-0.49</v>
      </c>
      <c r="W280">
        <v>134.27600000000001</v>
      </c>
    </row>
    <row r="281" spans="1:23" x14ac:dyDescent="0.35">
      <c r="A281">
        <v>1151630400</v>
      </c>
      <c r="B281" t="s">
        <v>23</v>
      </c>
      <c r="C281">
        <v>2006</v>
      </c>
      <c r="D281">
        <v>6</v>
      </c>
      <c r="E281">
        <v>29</v>
      </c>
      <c r="F281">
        <v>15</v>
      </c>
      <c r="G281">
        <v>20</v>
      </c>
      <c r="H281" s="1">
        <f t="shared" si="4"/>
        <v>38897.638888888891</v>
      </c>
      <c r="I281">
        <v>110.440628</v>
      </c>
      <c r="J281">
        <v>-7.5447600000000001</v>
      </c>
      <c r="K281">
        <v>1.343</v>
      </c>
      <c r="L281">
        <v>1.6459999999999999</v>
      </c>
      <c r="M281">
        <v>168.30500000000001</v>
      </c>
      <c r="N281">
        <v>6.7969999999999997</v>
      </c>
      <c r="O281">
        <v>6.4269999999999996</v>
      </c>
      <c r="P281">
        <v>24.84</v>
      </c>
      <c r="Q281">
        <v>-98.95</v>
      </c>
      <c r="R281">
        <v>155.38999999999999</v>
      </c>
      <c r="S281">
        <v>-49.12</v>
      </c>
      <c r="T281">
        <v>1117</v>
      </c>
      <c r="U281">
        <v>403</v>
      </c>
      <c r="V281">
        <v>-0.59199999999999997</v>
      </c>
      <c r="W281">
        <v>159.50800000000001</v>
      </c>
    </row>
    <row r="282" spans="1:23" x14ac:dyDescent="0.35">
      <c r="A282">
        <v>1151630400</v>
      </c>
      <c r="B282" t="s">
        <v>23</v>
      </c>
      <c r="C282">
        <v>2006</v>
      </c>
      <c r="D282">
        <v>6</v>
      </c>
      <c r="E282">
        <v>29</v>
      </c>
      <c r="F282">
        <v>15</v>
      </c>
      <c r="G282">
        <v>20</v>
      </c>
      <c r="H282" s="1">
        <f t="shared" si="4"/>
        <v>38897.638888888891</v>
      </c>
      <c r="I282">
        <v>110.450829</v>
      </c>
      <c r="J282">
        <v>-7.5432269999999999</v>
      </c>
      <c r="K282">
        <v>2.8580000000000001</v>
      </c>
      <c r="L282">
        <v>-10</v>
      </c>
      <c r="M282">
        <v>168.30500000000001</v>
      </c>
      <c r="N282">
        <v>7.1550000000000002</v>
      </c>
      <c r="O282">
        <v>6.8650000000000002</v>
      </c>
      <c r="P282">
        <v>24.95</v>
      </c>
      <c r="Q282">
        <v>-98.95</v>
      </c>
      <c r="R282">
        <v>155.38999999999999</v>
      </c>
      <c r="S282">
        <v>-49.1</v>
      </c>
      <c r="T282">
        <v>1117</v>
      </c>
      <c r="U282">
        <v>402</v>
      </c>
      <c r="V282">
        <v>-0.41199999999999998</v>
      </c>
      <c r="W282">
        <v>159.46199999999999</v>
      </c>
    </row>
    <row r="283" spans="1:23" x14ac:dyDescent="0.35">
      <c r="A283">
        <v>1151641200</v>
      </c>
      <c r="B283" t="s">
        <v>22</v>
      </c>
      <c r="C283">
        <v>2006</v>
      </c>
      <c r="D283">
        <v>6</v>
      </c>
      <c r="E283">
        <v>29</v>
      </c>
      <c r="F283">
        <v>18</v>
      </c>
      <c r="G283">
        <v>20</v>
      </c>
      <c r="H283" s="1">
        <f t="shared" si="4"/>
        <v>38897.763888888891</v>
      </c>
      <c r="I283">
        <v>110.464134</v>
      </c>
      <c r="J283">
        <v>-7.544187</v>
      </c>
      <c r="K283">
        <v>1.18</v>
      </c>
      <c r="L283">
        <v>1.323</v>
      </c>
      <c r="M283">
        <v>177.31399999999999</v>
      </c>
      <c r="N283">
        <v>6.8339999999999996</v>
      </c>
      <c r="O283">
        <v>6.4870000000000001</v>
      </c>
      <c r="P283">
        <v>32.01</v>
      </c>
      <c r="Q283">
        <v>-82.33</v>
      </c>
      <c r="R283">
        <v>151.26</v>
      </c>
      <c r="S283">
        <v>53.7</v>
      </c>
      <c r="T283">
        <v>873</v>
      </c>
      <c r="U283">
        <v>1029</v>
      </c>
      <c r="V283">
        <v>-0.66100000000000003</v>
      </c>
      <c r="W283">
        <v>124.432</v>
      </c>
    </row>
    <row r="284" spans="1:23" x14ac:dyDescent="0.35">
      <c r="A284">
        <v>1151641200</v>
      </c>
      <c r="B284" t="s">
        <v>22</v>
      </c>
      <c r="C284">
        <v>2006</v>
      </c>
      <c r="D284">
        <v>6</v>
      </c>
      <c r="E284">
        <v>29</v>
      </c>
      <c r="F284">
        <v>18</v>
      </c>
      <c r="G284">
        <v>20</v>
      </c>
      <c r="H284" s="1">
        <f t="shared" si="4"/>
        <v>38897.763888888891</v>
      </c>
      <c r="I284">
        <v>110.44948599999999</v>
      </c>
      <c r="J284">
        <v>-7.5421800000000001</v>
      </c>
      <c r="K284">
        <v>3.5579999999999998</v>
      </c>
      <c r="L284">
        <v>-10</v>
      </c>
      <c r="M284">
        <v>177.31399999999999</v>
      </c>
      <c r="N284">
        <v>7.1429999999999998</v>
      </c>
      <c r="O284">
        <v>6.8220000000000001</v>
      </c>
      <c r="P284">
        <v>32.01</v>
      </c>
      <c r="Q284">
        <v>-82.33</v>
      </c>
      <c r="R284">
        <v>151.26</v>
      </c>
      <c r="S284">
        <v>53.68</v>
      </c>
      <c r="T284">
        <v>873</v>
      </c>
      <c r="U284">
        <v>1028</v>
      </c>
      <c r="V284">
        <v>-0.314</v>
      </c>
      <c r="W284">
        <v>124.44499999999999</v>
      </c>
    </row>
    <row r="285" spans="1:23" x14ac:dyDescent="0.35">
      <c r="A285">
        <v>1151802600</v>
      </c>
      <c r="B285" t="s">
        <v>23</v>
      </c>
      <c r="C285">
        <v>2006</v>
      </c>
      <c r="D285">
        <v>7</v>
      </c>
      <c r="E285">
        <v>1</v>
      </c>
      <c r="F285">
        <v>15</v>
      </c>
      <c r="G285">
        <v>10</v>
      </c>
      <c r="H285" s="1">
        <f t="shared" si="4"/>
        <v>38899.631944444445</v>
      </c>
      <c r="I285">
        <v>110.44609800000001</v>
      </c>
      <c r="J285">
        <v>-7.5457530000000004</v>
      </c>
      <c r="K285">
        <v>3.3239999999999998</v>
      </c>
      <c r="L285">
        <v>-10</v>
      </c>
      <c r="M285">
        <v>168.30500000000001</v>
      </c>
      <c r="N285">
        <v>7.1230000000000002</v>
      </c>
      <c r="O285">
        <v>6.7450000000000001</v>
      </c>
      <c r="P285">
        <v>3.78</v>
      </c>
      <c r="Q285">
        <v>85.26</v>
      </c>
      <c r="R285">
        <v>153.09</v>
      </c>
      <c r="S285">
        <v>-52.34</v>
      </c>
      <c r="T285">
        <v>208</v>
      </c>
      <c r="U285">
        <v>719</v>
      </c>
      <c r="V285">
        <v>-0.34</v>
      </c>
      <c r="W285">
        <v>150.08600000000001</v>
      </c>
    </row>
    <row r="286" spans="1:23" x14ac:dyDescent="0.35">
      <c r="A286">
        <v>1151813100</v>
      </c>
      <c r="B286" t="s">
        <v>22</v>
      </c>
      <c r="C286">
        <v>2006</v>
      </c>
      <c r="D286">
        <v>7</v>
      </c>
      <c r="E286">
        <v>1</v>
      </c>
      <c r="F286">
        <v>18</v>
      </c>
      <c r="G286">
        <v>5</v>
      </c>
      <c r="H286" s="1">
        <f t="shared" si="4"/>
        <v>38899.753472222219</v>
      </c>
      <c r="I286">
        <v>110.45188899999999</v>
      </c>
      <c r="J286">
        <v>-7.5488949999999999</v>
      </c>
      <c r="K286">
        <v>0.97899999999999998</v>
      </c>
      <c r="L286">
        <v>0.95099999999999996</v>
      </c>
      <c r="M286">
        <v>177.31700000000001</v>
      </c>
      <c r="N286">
        <v>7.21</v>
      </c>
      <c r="O286">
        <v>6.8049999999999997</v>
      </c>
      <c r="P286">
        <v>5.09</v>
      </c>
      <c r="Q286">
        <v>-84.8</v>
      </c>
      <c r="R286">
        <v>153.78</v>
      </c>
      <c r="S286">
        <v>49.76</v>
      </c>
      <c r="T286">
        <v>2011</v>
      </c>
      <c r="U286">
        <v>733</v>
      </c>
      <c r="V286">
        <v>-0.755</v>
      </c>
      <c r="W286">
        <v>150.964</v>
      </c>
    </row>
    <row r="287" spans="1:23" x14ac:dyDescent="0.35">
      <c r="A287">
        <v>1151813100</v>
      </c>
      <c r="B287" t="s">
        <v>22</v>
      </c>
      <c r="C287">
        <v>2006</v>
      </c>
      <c r="D287">
        <v>7</v>
      </c>
      <c r="E287">
        <v>1</v>
      </c>
      <c r="F287">
        <v>18</v>
      </c>
      <c r="G287">
        <v>5</v>
      </c>
      <c r="H287" s="1">
        <f t="shared" si="4"/>
        <v>38899.753472222219</v>
      </c>
      <c r="I287">
        <v>110.452972</v>
      </c>
      <c r="J287">
        <v>-7.5399060000000002</v>
      </c>
      <c r="K287">
        <v>1.617</v>
      </c>
      <c r="L287">
        <v>-10</v>
      </c>
      <c r="M287">
        <v>177.31700000000001</v>
      </c>
      <c r="N287">
        <v>7.2460000000000004</v>
      </c>
      <c r="O287">
        <v>6.9779999999999998</v>
      </c>
      <c r="P287">
        <v>5.09</v>
      </c>
      <c r="Q287">
        <v>-85.77</v>
      </c>
      <c r="R287">
        <v>153.78</v>
      </c>
      <c r="S287">
        <v>49.74</v>
      </c>
      <c r="T287">
        <v>2010</v>
      </c>
      <c r="U287">
        <v>733</v>
      </c>
      <c r="V287">
        <v>-0.624</v>
      </c>
      <c r="W287">
        <v>150.904</v>
      </c>
    </row>
    <row r="288" spans="1:23" x14ac:dyDescent="0.35">
      <c r="A288">
        <v>1151813100</v>
      </c>
      <c r="B288" t="s">
        <v>22</v>
      </c>
      <c r="C288">
        <v>2006</v>
      </c>
      <c r="D288">
        <v>7</v>
      </c>
      <c r="E288">
        <v>1</v>
      </c>
      <c r="F288">
        <v>18</v>
      </c>
      <c r="G288">
        <v>5</v>
      </c>
      <c r="H288" s="1">
        <f t="shared" si="4"/>
        <v>38899.753472222219</v>
      </c>
      <c r="I288">
        <v>110.443916</v>
      </c>
      <c r="J288">
        <v>-7.5385869999999997</v>
      </c>
      <c r="K288">
        <v>1</v>
      </c>
      <c r="L288">
        <v>0.96299999999999997</v>
      </c>
      <c r="M288">
        <v>177.31700000000001</v>
      </c>
      <c r="N288">
        <v>6.8949999999999996</v>
      </c>
      <c r="O288">
        <v>6.6189999999999998</v>
      </c>
      <c r="P288">
        <v>4.9800000000000004</v>
      </c>
      <c r="Q288">
        <v>-85.89</v>
      </c>
      <c r="R288">
        <v>153.78</v>
      </c>
      <c r="S288">
        <v>49.73</v>
      </c>
      <c r="T288">
        <v>2010</v>
      </c>
      <c r="U288">
        <v>732</v>
      </c>
      <c r="V288">
        <v>-0.746</v>
      </c>
      <c r="W288">
        <v>150.99299999999999</v>
      </c>
    </row>
    <row r="289" spans="1:23" x14ac:dyDescent="0.35">
      <c r="A289">
        <v>1151974500</v>
      </c>
      <c r="B289" t="s">
        <v>23</v>
      </c>
      <c r="C289">
        <v>2006</v>
      </c>
      <c r="D289">
        <v>7</v>
      </c>
      <c r="E289">
        <v>3</v>
      </c>
      <c r="F289">
        <v>14</v>
      </c>
      <c r="G289">
        <v>55</v>
      </c>
      <c r="H289" s="1">
        <f t="shared" si="4"/>
        <v>38901.621527777781</v>
      </c>
      <c r="I289">
        <v>110.433792</v>
      </c>
      <c r="J289">
        <v>-7.5481809999999996</v>
      </c>
      <c r="K289">
        <v>0.82</v>
      </c>
      <c r="L289">
        <v>0.94899999999999995</v>
      </c>
      <c r="M289">
        <v>168.30500000000001</v>
      </c>
      <c r="N289">
        <v>7.4589999999999996</v>
      </c>
      <c r="O289">
        <v>7.1150000000000002</v>
      </c>
      <c r="P289">
        <v>31.11</v>
      </c>
      <c r="Q289">
        <v>82.28</v>
      </c>
      <c r="R289">
        <v>150.63</v>
      </c>
      <c r="S289">
        <v>-56.22</v>
      </c>
      <c r="T289">
        <v>1336</v>
      </c>
      <c r="U289">
        <v>1019</v>
      </c>
      <c r="V289">
        <v>-0.76500000000000001</v>
      </c>
      <c r="W289">
        <v>123.179</v>
      </c>
    </row>
    <row r="290" spans="1:23" x14ac:dyDescent="0.35">
      <c r="A290">
        <v>1151974500</v>
      </c>
      <c r="B290" t="s">
        <v>23</v>
      </c>
      <c r="C290">
        <v>2006</v>
      </c>
      <c r="D290">
        <v>7</v>
      </c>
      <c r="E290">
        <v>3</v>
      </c>
      <c r="F290">
        <v>14</v>
      </c>
      <c r="G290">
        <v>55</v>
      </c>
      <c r="H290" s="1">
        <f t="shared" si="4"/>
        <v>38901.621527777781</v>
      </c>
      <c r="I290">
        <v>110.448723</v>
      </c>
      <c r="J290">
        <v>-7.5461720000000003</v>
      </c>
      <c r="K290">
        <v>1.982</v>
      </c>
      <c r="L290">
        <v>1.976</v>
      </c>
      <c r="M290">
        <v>168.30500000000001</v>
      </c>
      <c r="N290">
        <v>7.7089999999999996</v>
      </c>
      <c r="O290">
        <v>7.3819999999999997</v>
      </c>
      <c r="P290">
        <v>30.89</v>
      </c>
      <c r="Q290">
        <v>82.28</v>
      </c>
      <c r="R290">
        <v>150.63</v>
      </c>
      <c r="S290">
        <v>-56.21</v>
      </c>
      <c r="T290">
        <v>1336</v>
      </c>
      <c r="U290">
        <v>1018</v>
      </c>
      <c r="V290">
        <v>-0.57799999999999996</v>
      </c>
      <c r="W290">
        <v>123.39700000000001</v>
      </c>
    </row>
    <row r="291" spans="1:23" x14ac:dyDescent="0.35">
      <c r="A291">
        <v>1151985300</v>
      </c>
      <c r="B291" t="s">
        <v>22</v>
      </c>
      <c r="C291">
        <v>2006</v>
      </c>
      <c r="D291">
        <v>7</v>
      </c>
      <c r="E291">
        <v>3</v>
      </c>
      <c r="F291">
        <v>17</v>
      </c>
      <c r="G291">
        <v>55</v>
      </c>
      <c r="H291" s="1">
        <f t="shared" si="4"/>
        <v>38901.746527777781</v>
      </c>
      <c r="I291">
        <v>110.455078</v>
      </c>
      <c r="J291">
        <v>-7.5512259999999998</v>
      </c>
      <c r="K291">
        <v>0.85799999999999998</v>
      </c>
      <c r="L291">
        <v>0.88600000000000001</v>
      </c>
      <c r="M291">
        <v>177.321</v>
      </c>
      <c r="N291">
        <v>7.3940000000000001</v>
      </c>
      <c r="O291">
        <v>7.0339999999999998</v>
      </c>
      <c r="P291">
        <v>23.61</v>
      </c>
      <c r="Q291">
        <v>99.29</v>
      </c>
      <c r="R291">
        <v>156.25</v>
      </c>
      <c r="S291">
        <v>46.6</v>
      </c>
      <c r="T291">
        <v>1121</v>
      </c>
      <c r="U291">
        <v>415</v>
      </c>
      <c r="V291">
        <v>-0.77600000000000002</v>
      </c>
      <c r="W291">
        <v>159.66900000000001</v>
      </c>
    </row>
    <row r="292" spans="1:23" x14ac:dyDescent="0.35">
      <c r="A292">
        <v>1151985300</v>
      </c>
      <c r="B292" t="s">
        <v>22</v>
      </c>
      <c r="C292">
        <v>2006</v>
      </c>
      <c r="D292">
        <v>7</v>
      </c>
      <c r="E292">
        <v>3</v>
      </c>
      <c r="F292">
        <v>17</v>
      </c>
      <c r="G292">
        <v>55</v>
      </c>
      <c r="H292" s="1">
        <f t="shared" si="4"/>
        <v>38901.746527777781</v>
      </c>
      <c r="I292">
        <v>110.45768700000001</v>
      </c>
      <c r="J292">
        <v>-7.5417480000000001</v>
      </c>
      <c r="K292">
        <v>0.77500000000000002</v>
      </c>
      <c r="L292">
        <v>0.998</v>
      </c>
      <c r="M292">
        <v>177.321</v>
      </c>
      <c r="N292">
        <v>7.3639999999999999</v>
      </c>
      <c r="O292">
        <v>7.0339999999999998</v>
      </c>
      <c r="P292">
        <v>23.61</v>
      </c>
      <c r="Q292">
        <v>99.52</v>
      </c>
      <c r="R292">
        <v>156.25</v>
      </c>
      <c r="S292">
        <v>46.58</v>
      </c>
      <c r="T292">
        <v>1120</v>
      </c>
      <c r="U292">
        <v>415</v>
      </c>
      <c r="V292">
        <v>-0.751</v>
      </c>
      <c r="W292">
        <v>159.578</v>
      </c>
    </row>
    <row r="293" spans="1:23" x14ac:dyDescent="0.35">
      <c r="A293">
        <v>1151985300</v>
      </c>
      <c r="B293" t="s">
        <v>22</v>
      </c>
      <c r="C293">
        <v>2006</v>
      </c>
      <c r="D293">
        <v>7</v>
      </c>
      <c r="E293">
        <v>3</v>
      </c>
      <c r="F293">
        <v>17</v>
      </c>
      <c r="G293">
        <v>55</v>
      </c>
      <c r="H293" s="1">
        <f t="shared" si="4"/>
        <v>38901.746527777781</v>
      </c>
      <c r="I293">
        <v>110.448143</v>
      </c>
      <c r="J293">
        <v>-7.5402670000000001</v>
      </c>
      <c r="K293">
        <v>1.139</v>
      </c>
      <c r="L293">
        <v>1.3560000000000001</v>
      </c>
      <c r="M293">
        <v>177.321</v>
      </c>
      <c r="N293">
        <v>7.2949999999999999</v>
      </c>
      <c r="O293">
        <v>7.0179999999999998</v>
      </c>
      <c r="P293">
        <v>23.72</v>
      </c>
      <c r="Q293">
        <v>99.52</v>
      </c>
      <c r="R293">
        <v>156.25</v>
      </c>
      <c r="S293">
        <v>46.57</v>
      </c>
      <c r="T293">
        <v>1120</v>
      </c>
      <c r="U293">
        <v>414</v>
      </c>
      <c r="V293">
        <v>-0.67600000000000005</v>
      </c>
      <c r="W293">
        <v>159.52600000000001</v>
      </c>
    </row>
    <row r="294" spans="1:23" x14ac:dyDescent="0.35">
      <c r="A294">
        <v>1152157500</v>
      </c>
      <c r="B294" t="s">
        <v>22</v>
      </c>
      <c r="C294">
        <v>2006</v>
      </c>
      <c r="D294">
        <v>7</v>
      </c>
      <c r="E294">
        <v>5</v>
      </c>
      <c r="F294">
        <v>17</v>
      </c>
      <c r="G294">
        <v>45</v>
      </c>
      <c r="H294" s="1">
        <f t="shared" si="4"/>
        <v>38903.739583333336</v>
      </c>
      <c r="I294">
        <v>110.454025</v>
      </c>
      <c r="J294">
        <v>-7.5410979999999999</v>
      </c>
      <c r="K294">
        <v>1.4990000000000001</v>
      </c>
      <c r="L294">
        <v>1.5229999999999999</v>
      </c>
      <c r="M294">
        <v>177.32400000000001</v>
      </c>
      <c r="N294">
        <v>7.84</v>
      </c>
      <c r="O294">
        <v>7.4009999999999998</v>
      </c>
      <c r="P294">
        <v>44.99</v>
      </c>
      <c r="Q294">
        <v>99.35</v>
      </c>
      <c r="R294">
        <v>158.59</v>
      </c>
      <c r="S294">
        <v>42.82</v>
      </c>
      <c r="T294">
        <v>232</v>
      </c>
      <c r="U294">
        <v>188</v>
      </c>
      <c r="V294">
        <v>-0.65900000000000003</v>
      </c>
      <c r="W294">
        <v>143.19200000000001</v>
      </c>
    </row>
    <row r="295" spans="1:23" x14ac:dyDescent="0.35">
      <c r="A295">
        <v>1152157500</v>
      </c>
      <c r="B295" t="s">
        <v>22</v>
      </c>
      <c r="C295">
        <v>2006</v>
      </c>
      <c r="D295">
        <v>7</v>
      </c>
      <c r="E295">
        <v>5</v>
      </c>
      <c r="F295">
        <v>17</v>
      </c>
      <c r="G295">
        <v>45</v>
      </c>
      <c r="H295" s="1">
        <f t="shared" si="4"/>
        <v>38903.739583333336</v>
      </c>
      <c r="I295">
        <v>110.460258</v>
      </c>
      <c r="J295">
        <v>-7.5378769999999999</v>
      </c>
      <c r="K295">
        <v>0.79500000000000004</v>
      </c>
      <c r="L295">
        <v>0.79700000000000004</v>
      </c>
      <c r="M295">
        <v>177.32400000000001</v>
      </c>
      <c r="N295">
        <v>7.4969999999999999</v>
      </c>
      <c r="O295">
        <v>7.1150000000000002</v>
      </c>
      <c r="P295">
        <v>44.99</v>
      </c>
      <c r="Q295">
        <v>98.43</v>
      </c>
      <c r="R295">
        <v>158.59</v>
      </c>
      <c r="S295">
        <v>42.83</v>
      </c>
      <c r="T295">
        <v>229</v>
      </c>
      <c r="U295">
        <v>188</v>
      </c>
      <c r="V295">
        <v>-0.79900000000000004</v>
      </c>
      <c r="W295">
        <v>143.523</v>
      </c>
    </row>
    <row r="296" spans="1:23" x14ac:dyDescent="0.35">
      <c r="A296">
        <v>1152157500</v>
      </c>
      <c r="B296" t="s">
        <v>22</v>
      </c>
      <c r="C296">
        <v>2006</v>
      </c>
      <c r="D296">
        <v>7</v>
      </c>
      <c r="E296">
        <v>5</v>
      </c>
      <c r="F296">
        <v>17</v>
      </c>
      <c r="G296">
        <v>45</v>
      </c>
      <c r="H296" s="1">
        <f t="shared" si="4"/>
        <v>38903.739583333336</v>
      </c>
      <c r="I296">
        <v>110.444748</v>
      </c>
      <c r="J296">
        <v>-7.5354429999999999</v>
      </c>
      <c r="K296">
        <v>1.2669999999999999</v>
      </c>
      <c r="L296">
        <v>1.232</v>
      </c>
      <c r="M296">
        <v>177.32400000000001</v>
      </c>
      <c r="N296">
        <v>7.7169999999999996</v>
      </c>
      <c r="O296">
        <v>7.335</v>
      </c>
      <c r="P296">
        <v>45.21</v>
      </c>
      <c r="Q296">
        <v>98.43</v>
      </c>
      <c r="R296">
        <v>158.59</v>
      </c>
      <c r="S296">
        <v>42.8</v>
      </c>
      <c r="T296">
        <v>229</v>
      </c>
      <c r="U296">
        <v>187</v>
      </c>
      <c r="V296">
        <v>-0.71199999999999997</v>
      </c>
      <c r="W296">
        <v>143.31700000000001</v>
      </c>
    </row>
    <row r="297" spans="1:23" x14ac:dyDescent="0.35">
      <c r="A297">
        <v>1152235500</v>
      </c>
      <c r="B297" t="s">
        <v>23</v>
      </c>
      <c r="C297">
        <v>2006</v>
      </c>
      <c r="D297">
        <v>7</v>
      </c>
      <c r="E297">
        <v>6</v>
      </c>
      <c r="F297">
        <v>15</v>
      </c>
      <c r="G297">
        <v>25</v>
      </c>
      <c r="H297" s="1">
        <f t="shared" si="4"/>
        <v>38904.642361111109</v>
      </c>
      <c r="I297">
        <v>110.449821</v>
      </c>
      <c r="J297">
        <v>-7.5465590000000002</v>
      </c>
      <c r="K297">
        <v>1.863</v>
      </c>
      <c r="L297">
        <v>1.966</v>
      </c>
      <c r="M297">
        <v>168.30500000000001</v>
      </c>
      <c r="N297">
        <v>7.7110000000000003</v>
      </c>
      <c r="O297">
        <v>7.3730000000000002</v>
      </c>
      <c r="P297">
        <v>36.479999999999997</v>
      </c>
      <c r="Q297">
        <v>-98.78</v>
      </c>
      <c r="R297">
        <v>156.65</v>
      </c>
      <c r="S297">
        <v>-49</v>
      </c>
      <c r="T297">
        <v>1585</v>
      </c>
      <c r="U297">
        <v>277</v>
      </c>
      <c r="V297">
        <v>-0.57899999999999996</v>
      </c>
      <c r="W297">
        <v>152.965</v>
      </c>
    </row>
    <row r="298" spans="1:23" x14ac:dyDescent="0.35">
      <c r="A298">
        <v>1152329400</v>
      </c>
      <c r="B298" t="s">
        <v>22</v>
      </c>
      <c r="C298">
        <v>2006</v>
      </c>
      <c r="D298">
        <v>7</v>
      </c>
      <c r="E298">
        <v>7</v>
      </c>
      <c r="F298">
        <v>17</v>
      </c>
      <c r="G298">
        <v>30</v>
      </c>
      <c r="H298" s="1">
        <f t="shared" si="4"/>
        <v>38905.729166666664</v>
      </c>
      <c r="I298">
        <v>110.452637</v>
      </c>
      <c r="J298">
        <v>-7.5465030000000004</v>
      </c>
      <c r="K298">
        <v>0.79200000000000004</v>
      </c>
      <c r="L298">
        <v>0.80100000000000005</v>
      </c>
      <c r="M298">
        <v>177.328</v>
      </c>
      <c r="N298">
        <v>7.508</v>
      </c>
      <c r="O298">
        <v>7.1159999999999997</v>
      </c>
      <c r="P298">
        <v>58.64</v>
      </c>
      <c r="Q298">
        <v>99.47</v>
      </c>
      <c r="R298">
        <v>160.71</v>
      </c>
      <c r="S298">
        <v>35.67</v>
      </c>
      <c r="T298">
        <v>1385</v>
      </c>
      <c r="U298">
        <v>55</v>
      </c>
      <c r="V298">
        <v>-0.79800000000000004</v>
      </c>
      <c r="W298">
        <v>127.884</v>
      </c>
    </row>
    <row r="299" spans="1:23" x14ac:dyDescent="0.35">
      <c r="A299">
        <v>1152363300</v>
      </c>
      <c r="B299" t="s">
        <v>23</v>
      </c>
      <c r="C299">
        <v>2006</v>
      </c>
      <c r="D299">
        <v>7</v>
      </c>
      <c r="E299">
        <v>8</v>
      </c>
      <c r="F299">
        <v>2</v>
      </c>
      <c r="G299">
        <v>55</v>
      </c>
      <c r="H299" s="1">
        <f t="shared" si="4"/>
        <v>38906.121527777781</v>
      </c>
      <c r="I299">
        <v>110.44703699999999</v>
      </c>
      <c r="J299">
        <v>-7.5432240000000004</v>
      </c>
      <c r="K299">
        <v>3.3180000000000001</v>
      </c>
      <c r="L299">
        <v>-10</v>
      </c>
      <c r="M299">
        <v>12.638</v>
      </c>
      <c r="N299">
        <v>9.109</v>
      </c>
      <c r="O299">
        <v>8.6620000000000008</v>
      </c>
      <c r="P299">
        <v>10.07</v>
      </c>
      <c r="Q299">
        <v>97.12</v>
      </c>
      <c r="R299">
        <v>39.36</v>
      </c>
      <c r="S299">
        <v>40.770000000000003</v>
      </c>
      <c r="T299">
        <v>1707</v>
      </c>
      <c r="U299">
        <v>565</v>
      </c>
      <c r="V299">
        <v>-0.51400000000000001</v>
      </c>
      <c r="W299">
        <v>46.271000000000001</v>
      </c>
    </row>
    <row r="300" spans="1:23" x14ac:dyDescent="0.35">
      <c r="A300">
        <v>1152407700</v>
      </c>
      <c r="B300" t="s">
        <v>23</v>
      </c>
      <c r="C300">
        <v>2006</v>
      </c>
      <c r="D300">
        <v>7</v>
      </c>
      <c r="E300">
        <v>8</v>
      </c>
      <c r="F300">
        <v>15</v>
      </c>
      <c r="G300">
        <v>15</v>
      </c>
      <c r="H300" s="1">
        <f t="shared" si="4"/>
        <v>38906.635416666664</v>
      </c>
      <c r="I300">
        <v>110.442863</v>
      </c>
      <c r="J300">
        <v>-7.5485899999999999</v>
      </c>
      <c r="K300">
        <v>1.28</v>
      </c>
      <c r="L300">
        <v>1.4950000000000001</v>
      </c>
      <c r="M300">
        <v>168.304</v>
      </c>
      <c r="N300">
        <v>7.4080000000000004</v>
      </c>
      <c r="O300">
        <v>7.032</v>
      </c>
      <c r="P300">
        <v>11.13</v>
      </c>
      <c r="Q300">
        <v>-98.66</v>
      </c>
      <c r="R300">
        <v>154.41</v>
      </c>
      <c r="S300">
        <v>-52.57</v>
      </c>
      <c r="T300">
        <v>676</v>
      </c>
      <c r="U300">
        <v>553</v>
      </c>
      <c r="V300">
        <v>-0.64900000000000002</v>
      </c>
      <c r="W300">
        <v>160.19999999999999</v>
      </c>
    </row>
    <row r="301" spans="1:23" x14ac:dyDescent="0.35">
      <c r="A301">
        <v>1152407700</v>
      </c>
      <c r="B301" t="s">
        <v>23</v>
      </c>
      <c r="C301">
        <v>2006</v>
      </c>
      <c r="D301">
        <v>7</v>
      </c>
      <c r="E301">
        <v>8</v>
      </c>
      <c r="F301">
        <v>15</v>
      </c>
      <c r="G301">
        <v>15</v>
      </c>
      <c r="H301" s="1">
        <f t="shared" si="4"/>
        <v>38906.635416666664</v>
      </c>
      <c r="I301">
        <v>110.45208</v>
      </c>
      <c r="J301">
        <v>-7.5472460000000003</v>
      </c>
      <c r="K301">
        <v>1.9350000000000001</v>
      </c>
      <c r="L301">
        <v>1.877</v>
      </c>
      <c r="M301">
        <v>168.304</v>
      </c>
      <c r="N301">
        <v>7.5030000000000001</v>
      </c>
      <c r="O301">
        <v>7.2</v>
      </c>
      <c r="P301">
        <v>11.25</v>
      </c>
      <c r="Q301">
        <v>-98.66</v>
      </c>
      <c r="R301">
        <v>154.41</v>
      </c>
      <c r="S301">
        <v>-52.55</v>
      </c>
      <c r="T301">
        <v>676</v>
      </c>
      <c r="U301">
        <v>552</v>
      </c>
      <c r="V301">
        <v>-0.58599999999999997</v>
      </c>
      <c r="W301">
        <v>160.245</v>
      </c>
    </row>
    <row r="302" spans="1:23" x14ac:dyDescent="0.35">
      <c r="A302">
        <v>1152418500</v>
      </c>
      <c r="B302" t="s">
        <v>22</v>
      </c>
      <c r="C302">
        <v>2006</v>
      </c>
      <c r="D302">
        <v>7</v>
      </c>
      <c r="E302">
        <v>8</v>
      </c>
      <c r="F302">
        <v>18</v>
      </c>
      <c r="G302">
        <v>15</v>
      </c>
      <c r="H302" s="1">
        <f t="shared" si="4"/>
        <v>38906.760416666664</v>
      </c>
      <c r="I302">
        <v>110.45555899999999</v>
      </c>
      <c r="J302">
        <v>-7.5459519999999998</v>
      </c>
      <c r="K302">
        <v>1.3220000000000001</v>
      </c>
      <c r="L302">
        <v>1.8180000000000001</v>
      </c>
      <c r="M302">
        <v>177.33</v>
      </c>
      <c r="N302">
        <v>7.8559999999999999</v>
      </c>
      <c r="O302">
        <v>7.38</v>
      </c>
      <c r="P302">
        <v>19.7</v>
      </c>
      <c r="Q302">
        <v>-83.02</v>
      </c>
      <c r="R302">
        <v>153.15</v>
      </c>
      <c r="S302">
        <v>53.51</v>
      </c>
      <c r="T302">
        <v>500</v>
      </c>
      <c r="U302">
        <v>894</v>
      </c>
      <c r="V302">
        <v>-0.60499999999999998</v>
      </c>
      <c r="W302">
        <v>137.07</v>
      </c>
    </row>
    <row r="303" spans="1:23" x14ac:dyDescent="0.35">
      <c r="A303">
        <v>1152418500</v>
      </c>
      <c r="B303" t="s">
        <v>22</v>
      </c>
      <c r="C303">
        <v>2006</v>
      </c>
      <c r="D303">
        <v>7</v>
      </c>
      <c r="E303">
        <v>8</v>
      </c>
      <c r="F303">
        <v>18</v>
      </c>
      <c r="G303">
        <v>15</v>
      </c>
      <c r="H303" s="1">
        <f t="shared" si="4"/>
        <v>38906.760416666664</v>
      </c>
      <c r="I303">
        <v>110.444778</v>
      </c>
      <c r="J303">
        <v>-7.5444519999999997</v>
      </c>
      <c r="K303">
        <v>1.2629999999999999</v>
      </c>
      <c r="L303">
        <v>1.4039999999999999</v>
      </c>
      <c r="M303">
        <v>177.33</v>
      </c>
      <c r="N303">
        <v>7.5149999999999997</v>
      </c>
      <c r="O303">
        <v>7.173</v>
      </c>
      <c r="P303">
        <v>19.579999999999998</v>
      </c>
      <c r="Q303">
        <v>-83.02</v>
      </c>
      <c r="R303">
        <v>153.15</v>
      </c>
      <c r="S303">
        <v>53.49</v>
      </c>
      <c r="T303">
        <v>500</v>
      </c>
      <c r="U303">
        <v>893</v>
      </c>
      <c r="V303">
        <v>-0.67300000000000004</v>
      </c>
      <c r="W303">
        <v>137.179</v>
      </c>
    </row>
    <row r="304" spans="1:23" x14ac:dyDescent="0.35">
      <c r="A304">
        <v>1152418500</v>
      </c>
      <c r="B304" t="s">
        <v>22</v>
      </c>
      <c r="C304">
        <v>2006</v>
      </c>
      <c r="D304">
        <v>7</v>
      </c>
      <c r="E304">
        <v>8</v>
      </c>
      <c r="F304">
        <v>18</v>
      </c>
      <c r="G304">
        <v>15</v>
      </c>
      <c r="H304" s="1">
        <f t="shared" si="4"/>
        <v>38906.760416666664</v>
      </c>
      <c r="I304">
        <v>110.450935</v>
      </c>
      <c r="J304">
        <v>-7.5394110000000003</v>
      </c>
      <c r="K304">
        <v>2.6150000000000002</v>
      </c>
      <c r="L304">
        <v>-10</v>
      </c>
      <c r="M304">
        <v>177.33</v>
      </c>
      <c r="N304">
        <v>7.9690000000000003</v>
      </c>
      <c r="O304">
        <v>7.6180000000000003</v>
      </c>
      <c r="P304">
        <v>19.579999999999998</v>
      </c>
      <c r="Q304">
        <v>-80.62</v>
      </c>
      <c r="R304">
        <v>153.15</v>
      </c>
      <c r="S304">
        <v>53.49</v>
      </c>
      <c r="T304">
        <v>499</v>
      </c>
      <c r="U304">
        <v>893</v>
      </c>
      <c r="V304">
        <v>-0.48899999999999999</v>
      </c>
      <c r="W304">
        <v>137.547</v>
      </c>
    </row>
    <row r="305" spans="1:23" x14ac:dyDescent="0.35">
      <c r="A305">
        <v>1152579600</v>
      </c>
      <c r="B305" t="s">
        <v>23</v>
      </c>
      <c r="C305">
        <v>2006</v>
      </c>
      <c r="D305">
        <v>7</v>
      </c>
      <c r="E305">
        <v>10</v>
      </c>
      <c r="F305">
        <v>15</v>
      </c>
      <c r="G305">
        <v>0</v>
      </c>
      <c r="H305" s="1">
        <f t="shared" si="4"/>
        <v>38908.625</v>
      </c>
      <c r="I305">
        <v>110.44257399999999</v>
      </c>
      <c r="J305">
        <v>-7.5416489999999996</v>
      </c>
      <c r="K305">
        <v>1.4910000000000001</v>
      </c>
      <c r="L305">
        <v>1.639</v>
      </c>
      <c r="M305">
        <v>168.304</v>
      </c>
      <c r="N305">
        <v>7.5949999999999998</v>
      </c>
      <c r="O305">
        <v>7.2009999999999996</v>
      </c>
      <c r="P305">
        <v>18.239999999999998</v>
      </c>
      <c r="Q305">
        <v>81.88</v>
      </c>
      <c r="R305">
        <v>152.01</v>
      </c>
      <c r="S305">
        <v>-56.74</v>
      </c>
      <c r="T305">
        <v>1805</v>
      </c>
      <c r="U305">
        <v>879</v>
      </c>
      <c r="V305">
        <v>-0.629</v>
      </c>
      <c r="W305">
        <v>135.86500000000001</v>
      </c>
    </row>
    <row r="306" spans="1:23" x14ac:dyDescent="0.35">
      <c r="A306">
        <v>1152590400</v>
      </c>
      <c r="B306" t="s">
        <v>22</v>
      </c>
      <c r="C306">
        <v>2006</v>
      </c>
      <c r="D306">
        <v>7</v>
      </c>
      <c r="E306">
        <v>10</v>
      </c>
      <c r="F306">
        <v>18</v>
      </c>
      <c r="G306">
        <v>0</v>
      </c>
      <c r="H306" s="1">
        <f t="shared" si="4"/>
        <v>38908.75</v>
      </c>
      <c r="I306">
        <v>110.447746</v>
      </c>
      <c r="J306">
        <v>-7.5459759999999996</v>
      </c>
      <c r="K306">
        <v>1.5680000000000001</v>
      </c>
      <c r="L306">
        <v>1.506</v>
      </c>
      <c r="M306">
        <v>177.333</v>
      </c>
      <c r="N306">
        <v>7.3869999999999996</v>
      </c>
      <c r="O306">
        <v>7.0410000000000004</v>
      </c>
      <c r="P306">
        <v>9.7899999999999991</v>
      </c>
      <c r="Q306">
        <v>96.83</v>
      </c>
      <c r="R306">
        <v>155.72999999999999</v>
      </c>
      <c r="S306">
        <v>49.43</v>
      </c>
      <c r="T306">
        <v>1647</v>
      </c>
      <c r="U306">
        <v>568</v>
      </c>
      <c r="V306">
        <v>-0.64800000000000002</v>
      </c>
      <c r="W306">
        <v>161.726</v>
      </c>
    </row>
    <row r="307" spans="1:23" x14ac:dyDescent="0.35">
      <c r="A307">
        <v>1152590400</v>
      </c>
      <c r="B307" t="s">
        <v>22</v>
      </c>
      <c r="C307">
        <v>2006</v>
      </c>
      <c r="D307">
        <v>7</v>
      </c>
      <c r="E307">
        <v>10</v>
      </c>
      <c r="F307">
        <v>18</v>
      </c>
      <c r="G307">
        <v>0</v>
      </c>
      <c r="H307" s="1">
        <f t="shared" si="4"/>
        <v>38908.75</v>
      </c>
      <c r="I307">
        <v>110.449257</v>
      </c>
      <c r="J307">
        <v>-7.5369450000000002</v>
      </c>
      <c r="K307">
        <v>1.9079999999999999</v>
      </c>
      <c r="L307">
        <v>1.8580000000000001</v>
      </c>
      <c r="M307">
        <v>177.333</v>
      </c>
      <c r="N307">
        <v>7.4580000000000002</v>
      </c>
      <c r="O307">
        <v>7.1980000000000004</v>
      </c>
      <c r="P307">
        <v>9.7899999999999991</v>
      </c>
      <c r="Q307">
        <v>97.35</v>
      </c>
      <c r="R307">
        <v>155.72999999999999</v>
      </c>
      <c r="S307">
        <v>49.42</v>
      </c>
      <c r="T307">
        <v>1646</v>
      </c>
      <c r="U307">
        <v>568</v>
      </c>
      <c r="V307">
        <v>-0.59</v>
      </c>
      <c r="W307">
        <v>161.63499999999999</v>
      </c>
    </row>
    <row r="308" spans="1:23" x14ac:dyDescent="0.35">
      <c r="A308">
        <v>1152751800</v>
      </c>
      <c r="B308" t="s">
        <v>23</v>
      </c>
      <c r="C308">
        <v>2006</v>
      </c>
      <c r="D308">
        <v>7</v>
      </c>
      <c r="E308">
        <v>12</v>
      </c>
      <c r="F308">
        <v>14</v>
      </c>
      <c r="G308">
        <v>50</v>
      </c>
      <c r="H308" s="1">
        <f t="shared" si="4"/>
        <v>38910.618055555555</v>
      </c>
      <c r="I308">
        <v>110.444107</v>
      </c>
      <c r="J308">
        <v>-7.5468489999999999</v>
      </c>
      <c r="K308">
        <v>0.76300000000000001</v>
      </c>
      <c r="L308">
        <v>0.75900000000000001</v>
      </c>
      <c r="M308">
        <v>168.304</v>
      </c>
      <c r="N308">
        <v>7.0419999999999998</v>
      </c>
      <c r="O308">
        <v>6.6749999999999998</v>
      </c>
      <c r="P308">
        <v>41.41</v>
      </c>
      <c r="Q308">
        <v>82.85</v>
      </c>
      <c r="R308">
        <v>149.47999999999999</v>
      </c>
      <c r="S308">
        <v>-59.24</v>
      </c>
      <c r="T308">
        <v>889</v>
      </c>
      <c r="U308">
        <v>1129</v>
      </c>
      <c r="V308">
        <v>-0.79600000000000004</v>
      </c>
      <c r="W308">
        <v>112.00700000000001</v>
      </c>
    </row>
    <row r="309" spans="1:23" x14ac:dyDescent="0.35">
      <c r="A309">
        <v>1152762600</v>
      </c>
      <c r="B309" t="s">
        <v>22</v>
      </c>
      <c r="C309">
        <v>2006</v>
      </c>
      <c r="D309">
        <v>7</v>
      </c>
      <c r="E309">
        <v>12</v>
      </c>
      <c r="F309">
        <v>17</v>
      </c>
      <c r="G309">
        <v>50</v>
      </c>
      <c r="H309" s="1">
        <f t="shared" si="4"/>
        <v>38910.743055555555</v>
      </c>
      <c r="I309">
        <v>110.450546</v>
      </c>
      <c r="J309">
        <v>-7.5377510000000001</v>
      </c>
      <c r="K309">
        <v>0.77800000000000002</v>
      </c>
      <c r="L309">
        <v>0.78500000000000003</v>
      </c>
      <c r="M309">
        <v>177.33699999999999</v>
      </c>
      <c r="N309">
        <v>5.67</v>
      </c>
      <c r="O309">
        <v>5.3639999999999999</v>
      </c>
      <c r="P309">
        <v>35.36</v>
      </c>
      <c r="Q309">
        <v>98.72</v>
      </c>
      <c r="R309">
        <v>158.19</v>
      </c>
      <c r="S309">
        <v>46.19</v>
      </c>
      <c r="T309">
        <v>755</v>
      </c>
      <c r="U309">
        <v>288</v>
      </c>
      <c r="V309">
        <v>-0.745</v>
      </c>
      <c r="W309">
        <v>152.596</v>
      </c>
    </row>
    <row r="310" spans="1:23" x14ac:dyDescent="0.35">
      <c r="A310">
        <v>1153012800</v>
      </c>
      <c r="B310" t="s">
        <v>23</v>
      </c>
      <c r="C310">
        <v>2006</v>
      </c>
      <c r="D310">
        <v>7</v>
      </c>
      <c r="E310">
        <v>15</v>
      </c>
      <c r="F310">
        <v>15</v>
      </c>
      <c r="G310">
        <v>20</v>
      </c>
      <c r="H310" s="1">
        <f t="shared" si="4"/>
        <v>38913.638888888891</v>
      </c>
      <c r="I310">
        <v>110.447571</v>
      </c>
      <c r="J310">
        <v>-7.5467079999999997</v>
      </c>
      <c r="K310">
        <v>0.68799999999999994</v>
      </c>
      <c r="L310">
        <v>0.85399999999999998</v>
      </c>
      <c r="M310">
        <v>168.304</v>
      </c>
      <c r="N310">
        <v>7.44</v>
      </c>
      <c r="O310">
        <v>7.0830000000000002</v>
      </c>
      <c r="P310">
        <v>24.95</v>
      </c>
      <c r="Q310">
        <v>-97.46</v>
      </c>
      <c r="R310">
        <v>155.96</v>
      </c>
      <c r="S310">
        <v>-53.31</v>
      </c>
      <c r="T310">
        <v>1140</v>
      </c>
      <c r="U310">
        <v>401</v>
      </c>
      <c r="V310">
        <v>-0.78500000000000003</v>
      </c>
      <c r="W310">
        <v>161.86600000000001</v>
      </c>
    </row>
    <row r="311" spans="1:23" x14ac:dyDescent="0.35">
      <c r="A311">
        <v>1153023600</v>
      </c>
      <c r="B311" t="s">
        <v>22</v>
      </c>
      <c r="C311">
        <v>2006</v>
      </c>
      <c r="D311">
        <v>7</v>
      </c>
      <c r="E311">
        <v>15</v>
      </c>
      <c r="F311">
        <v>18</v>
      </c>
      <c r="G311">
        <v>20</v>
      </c>
      <c r="H311" s="1">
        <f t="shared" si="4"/>
        <v>38913.763888888891</v>
      </c>
      <c r="I311">
        <v>110.457382</v>
      </c>
      <c r="J311">
        <v>-7.5440950000000004</v>
      </c>
      <c r="K311">
        <v>0.85399999999999998</v>
      </c>
      <c r="L311">
        <v>0.88100000000000001</v>
      </c>
      <c r="M311">
        <v>177.34200000000001</v>
      </c>
      <c r="N311">
        <v>7.4059999999999997</v>
      </c>
      <c r="O311">
        <v>7.0620000000000003</v>
      </c>
      <c r="P311">
        <v>32.229999999999997</v>
      </c>
      <c r="Q311">
        <v>-81.99</v>
      </c>
      <c r="R311">
        <v>152.46</v>
      </c>
      <c r="S311">
        <v>56.41</v>
      </c>
      <c r="T311">
        <v>1025</v>
      </c>
      <c r="U311">
        <v>1031</v>
      </c>
      <c r="V311">
        <v>-0.77800000000000002</v>
      </c>
      <c r="W311">
        <v>124.952</v>
      </c>
    </row>
    <row r="312" spans="1:23" x14ac:dyDescent="0.35">
      <c r="A312">
        <v>1153185000</v>
      </c>
      <c r="B312" t="s">
        <v>23</v>
      </c>
      <c r="C312">
        <v>2006</v>
      </c>
      <c r="D312">
        <v>7</v>
      </c>
      <c r="E312">
        <v>17</v>
      </c>
      <c r="F312">
        <v>15</v>
      </c>
      <c r="G312">
        <v>10</v>
      </c>
      <c r="H312" s="1">
        <f t="shared" si="4"/>
        <v>38915.631944444445</v>
      </c>
      <c r="I312">
        <v>110.445587</v>
      </c>
      <c r="J312">
        <v>-7.5450970000000002</v>
      </c>
      <c r="K312">
        <v>2.5459999999999998</v>
      </c>
      <c r="L312">
        <v>-10</v>
      </c>
      <c r="M312">
        <v>168.304</v>
      </c>
      <c r="N312">
        <v>7.8949999999999996</v>
      </c>
      <c r="O312">
        <v>7.4749999999999996</v>
      </c>
      <c r="P312">
        <v>3.72</v>
      </c>
      <c r="Q312">
        <v>85.31</v>
      </c>
      <c r="R312">
        <v>153.61000000000001</v>
      </c>
      <c r="S312">
        <v>-56.67</v>
      </c>
      <c r="T312">
        <v>238</v>
      </c>
      <c r="U312">
        <v>718</v>
      </c>
      <c r="V312">
        <v>-0.49199999999999999</v>
      </c>
      <c r="W312">
        <v>150.453</v>
      </c>
    </row>
    <row r="313" spans="1:23" x14ac:dyDescent="0.35">
      <c r="A313">
        <v>1153195800</v>
      </c>
      <c r="B313" t="s">
        <v>22</v>
      </c>
      <c r="C313">
        <v>2006</v>
      </c>
      <c r="D313">
        <v>7</v>
      </c>
      <c r="E313">
        <v>17</v>
      </c>
      <c r="F313">
        <v>18</v>
      </c>
      <c r="G313">
        <v>10</v>
      </c>
      <c r="H313" s="1">
        <f t="shared" si="4"/>
        <v>38915.756944444445</v>
      </c>
      <c r="I313">
        <v>110.44927199999999</v>
      </c>
      <c r="J313">
        <v>-7.5466870000000004</v>
      </c>
      <c r="K313">
        <v>0.85099999999999998</v>
      </c>
      <c r="L313">
        <v>1.0509999999999999</v>
      </c>
      <c r="M313">
        <v>177.346</v>
      </c>
      <c r="N313">
        <v>7.4480000000000004</v>
      </c>
      <c r="O313">
        <v>7.0780000000000003</v>
      </c>
      <c r="P313">
        <v>5.37</v>
      </c>
      <c r="Q313">
        <v>-85.54</v>
      </c>
      <c r="R313">
        <v>155.21</v>
      </c>
      <c r="S313">
        <v>54.45</v>
      </c>
      <c r="T313">
        <v>130</v>
      </c>
      <c r="U313">
        <v>736</v>
      </c>
      <c r="V313">
        <v>-0.74099999999999999</v>
      </c>
      <c r="W313">
        <v>150.95500000000001</v>
      </c>
    </row>
    <row r="314" spans="1:23" x14ac:dyDescent="0.35">
      <c r="A314">
        <v>1153356900</v>
      </c>
      <c r="B314" t="s">
        <v>23</v>
      </c>
      <c r="C314">
        <v>2006</v>
      </c>
      <c r="D314">
        <v>7</v>
      </c>
      <c r="E314">
        <v>19</v>
      </c>
      <c r="F314">
        <v>14</v>
      </c>
      <c r="G314">
        <v>55</v>
      </c>
      <c r="H314" s="1">
        <f t="shared" si="4"/>
        <v>38917.621527777781</v>
      </c>
      <c r="I314">
        <v>110.436638</v>
      </c>
      <c r="J314">
        <v>-7.543412</v>
      </c>
      <c r="K314">
        <v>1.5569999999999999</v>
      </c>
      <c r="L314">
        <v>1.752</v>
      </c>
      <c r="M314">
        <v>168.304</v>
      </c>
      <c r="N314">
        <v>7.7089999999999996</v>
      </c>
      <c r="O314">
        <v>7.2750000000000004</v>
      </c>
      <c r="P314">
        <v>31.11</v>
      </c>
      <c r="Q314">
        <v>81.93</v>
      </c>
      <c r="R314">
        <v>151.15</v>
      </c>
      <c r="S314">
        <v>-60.53</v>
      </c>
      <c r="T314">
        <v>1354</v>
      </c>
      <c r="U314">
        <v>1018</v>
      </c>
      <c r="V314">
        <v>-0.61199999999999999</v>
      </c>
      <c r="W314">
        <v>122.82599999999999</v>
      </c>
    </row>
    <row r="315" spans="1:23" x14ac:dyDescent="0.35">
      <c r="A315">
        <v>1153356900</v>
      </c>
      <c r="B315" t="s">
        <v>23</v>
      </c>
      <c r="C315">
        <v>2006</v>
      </c>
      <c r="D315">
        <v>7</v>
      </c>
      <c r="E315">
        <v>19</v>
      </c>
      <c r="F315">
        <v>14</v>
      </c>
      <c r="G315">
        <v>55</v>
      </c>
      <c r="H315" s="1">
        <f t="shared" si="4"/>
        <v>38917.621527777781</v>
      </c>
      <c r="I315">
        <v>110.45062299999999</v>
      </c>
      <c r="J315">
        <v>-7.5415010000000002</v>
      </c>
      <c r="K315">
        <v>1.7649999999999999</v>
      </c>
      <c r="L315">
        <v>1.7070000000000001</v>
      </c>
      <c r="M315">
        <v>168.304</v>
      </c>
      <c r="N315">
        <v>7.6769999999999996</v>
      </c>
      <c r="O315">
        <v>7.3159999999999998</v>
      </c>
      <c r="P315">
        <v>30.89</v>
      </c>
      <c r="Q315">
        <v>81.93</v>
      </c>
      <c r="R315">
        <v>151.15</v>
      </c>
      <c r="S315">
        <v>-60.51</v>
      </c>
      <c r="T315">
        <v>1354</v>
      </c>
      <c r="U315">
        <v>1017</v>
      </c>
      <c r="V315">
        <v>-0.622</v>
      </c>
      <c r="W315">
        <v>123.047</v>
      </c>
    </row>
    <row r="316" spans="1:23" x14ac:dyDescent="0.35">
      <c r="A316">
        <v>1153367700</v>
      </c>
      <c r="B316" t="s">
        <v>22</v>
      </c>
      <c r="C316">
        <v>2006</v>
      </c>
      <c r="D316">
        <v>7</v>
      </c>
      <c r="E316">
        <v>19</v>
      </c>
      <c r="F316">
        <v>17</v>
      </c>
      <c r="G316">
        <v>55</v>
      </c>
      <c r="H316" s="1">
        <f t="shared" si="4"/>
        <v>38917.746527777781</v>
      </c>
      <c r="I316">
        <v>110.445702</v>
      </c>
      <c r="J316">
        <v>-7.5402269999999998</v>
      </c>
      <c r="K316">
        <v>0.879</v>
      </c>
      <c r="L316">
        <v>0.86899999999999999</v>
      </c>
      <c r="M316">
        <v>177.35</v>
      </c>
      <c r="N316">
        <v>7.6180000000000003</v>
      </c>
      <c r="O316">
        <v>7.2530000000000001</v>
      </c>
      <c r="P316">
        <v>23.61</v>
      </c>
      <c r="Q316">
        <v>98.2</v>
      </c>
      <c r="R316">
        <v>157.85</v>
      </c>
      <c r="S316">
        <v>50.33</v>
      </c>
      <c r="T316">
        <v>1266</v>
      </c>
      <c r="U316">
        <v>416</v>
      </c>
      <c r="V316">
        <v>-0.78600000000000003</v>
      </c>
      <c r="W316">
        <v>161.96799999999999</v>
      </c>
    </row>
    <row r="317" spans="1:23" x14ac:dyDescent="0.35">
      <c r="A317">
        <v>1153412100</v>
      </c>
      <c r="B317" t="s">
        <v>22</v>
      </c>
      <c r="C317">
        <v>2006</v>
      </c>
      <c r="D317">
        <v>7</v>
      </c>
      <c r="E317">
        <v>20</v>
      </c>
      <c r="F317">
        <v>6</v>
      </c>
      <c r="G317">
        <v>15</v>
      </c>
      <c r="H317" s="1">
        <f t="shared" si="4"/>
        <v>38918.260416666664</v>
      </c>
      <c r="I317">
        <v>110.443245</v>
      </c>
      <c r="J317">
        <v>-7.5506729999999997</v>
      </c>
      <c r="K317">
        <v>3.0630000000000002</v>
      </c>
      <c r="L317">
        <v>-10</v>
      </c>
      <c r="M317">
        <v>10.34</v>
      </c>
      <c r="N317">
        <v>9.4320000000000004</v>
      </c>
      <c r="O317">
        <v>8.8320000000000007</v>
      </c>
      <c r="P317">
        <v>3.37</v>
      </c>
      <c r="Q317">
        <v>78.55</v>
      </c>
      <c r="R317">
        <v>36.04</v>
      </c>
      <c r="S317">
        <v>-37.81</v>
      </c>
      <c r="T317">
        <v>233</v>
      </c>
      <c r="U317">
        <v>714</v>
      </c>
      <c r="V317">
        <v>-0.54200000000000004</v>
      </c>
      <c r="W317">
        <v>34.545000000000002</v>
      </c>
    </row>
    <row r="318" spans="1:23" x14ac:dyDescent="0.35">
      <c r="A318">
        <v>1153539900</v>
      </c>
      <c r="B318" t="s">
        <v>22</v>
      </c>
      <c r="C318">
        <v>2006</v>
      </c>
      <c r="D318">
        <v>7</v>
      </c>
      <c r="E318">
        <v>21</v>
      </c>
      <c r="F318">
        <v>17</v>
      </c>
      <c r="G318">
        <v>45</v>
      </c>
      <c r="H318" s="1">
        <f t="shared" si="4"/>
        <v>38919.739583333336</v>
      </c>
      <c r="I318">
        <v>110.448502</v>
      </c>
      <c r="J318">
        <v>-7.5435169999999996</v>
      </c>
      <c r="K318">
        <v>0.79900000000000004</v>
      </c>
      <c r="L318">
        <v>0.753</v>
      </c>
      <c r="M318">
        <v>177.35300000000001</v>
      </c>
      <c r="N318">
        <v>5.2880000000000003</v>
      </c>
      <c r="O318">
        <v>5.0730000000000004</v>
      </c>
      <c r="P318">
        <v>44.99</v>
      </c>
      <c r="Q318">
        <v>98.95</v>
      </c>
      <c r="R318">
        <v>160.37</v>
      </c>
      <c r="S318">
        <v>47.12</v>
      </c>
      <c r="T318">
        <v>375</v>
      </c>
      <c r="U318">
        <v>189</v>
      </c>
      <c r="V318">
        <v>-0.74199999999999999</v>
      </c>
      <c r="W318">
        <v>144.33099999999999</v>
      </c>
    </row>
    <row r="319" spans="1:23" x14ac:dyDescent="0.35">
      <c r="A319">
        <v>1153711800</v>
      </c>
      <c r="B319" t="s">
        <v>22</v>
      </c>
      <c r="C319">
        <v>2006</v>
      </c>
      <c r="D319">
        <v>7</v>
      </c>
      <c r="E319">
        <v>23</v>
      </c>
      <c r="F319">
        <v>17</v>
      </c>
      <c r="G319">
        <v>30</v>
      </c>
      <c r="H319" s="1">
        <f t="shared" si="4"/>
        <v>38921.729166666664</v>
      </c>
      <c r="I319">
        <v>110.461174</v>
      </c>
      <c r="J319">
        <v>-7.5369799999999998</v>
      </c>
      <c r="K319">
        <v>0.88200000000000001</v>
      </c>
      <c r="L319">
        <v>0.88100000000000001</v>
      </c>
      <c r="M319">
        <v>177.357</v>
      </c>
      <c r="N319">
        <v>7.5309999999999997</v>
      </c>
      <c r="O319">
        <v>7.1669999999999998</v>
      </c>
      <c r="P319">
        <v>58.64</v>
      </c>
      <c r="Q319">
        <v>99.47</v>
      </c>
      <c r="R319">
        <v>162.78</v>
      </c>
      <c r="S319">
        <v>40.26</v>
      </c>
      <c r="T319">
        <v>1525</v>
      </c>
      <c r="U319">
        <v>56</v>
      </c>
      <c r="V319">
        <v>-0.78100000000000003</v>
      </c>
      <c r="W319">
        <v>128.58600000000001</v>
      </c>
    </row>
    <row r="320" spans="1:23" x14ac:dyDescent="0.35">
      <c r="A320">
        <v>1153745700</v>
      </c>
      <c r="B320" t="s">
        <v>23</v>
      </c>
      <c r="C320">
        <v>2006</v>
      </c>
      <c r="D320">
        <v>7</v>
      </c>
      <c r="E320">
        <v>24</v>
      </c>
      <c r="F320">
        <v>2</v>
      </c>
      <c r="G320">
        <v>55</v>
      </c>
      <c r="H320" s="1">
        <f t="shared" si="4"/>
        <v>38922.121527777781</v>
      </c>
      <c r="I320">
        <v>110.443939</v>
      </c>
      <c r="J320">
        <v>-7.5397119999999997</v>
      </c>
      <c r="K320">
        <v>2.9929999999999999</v>
      </c>
      <c r="L320">
        <v>-10</v>
      </c>
      <c r="M320">
        <v>13.239000000000001</v>
      </c>
      <c r="N320">
        <v>9.83</v>
      </c>
      <c r="O320">
        <v>9.2810000000000006</v>
      </c>
      <c r="P320">
        <v>10.07</v>
      </c>
      <c r="Q320">
        <v>96.6</v>
      </c>
      <c r="R320">
        <v>37.76</v>
      </c>
      <c r="S320">
        <v>44.09</v>
      </c>
      <c r="T320">
        <v>1728</v>
      </c>
      <c r="U320">
        <v>565</v>
      </c>
      <c r="V320">
        <v>-0.58499999999999996</v>
      </c>
      <c r="W320">
        <v>45.231000000000002</v>
      </c>
    </row>
    <row r="321" spans="1:23" x14ac:dyDescent="0.35">
      <c r="A321">
        <v>1153790100</v>
      </c>
      <c r="B321" t="s">
        <v>23</v>
      </c>
      <c r="C321">
        <v>2006</v>
      </c>
      <c r="D321">
        <v>7</v>
      </c>
      <c r="E321">
        <v>24</v>
      </c>
      <c r="F321">
        <v>15</v>
      </c>
      <c r="G321">
        <v>15</v>
      </c>
      <c r="H321" s="1">
        <f t="shared" si="4"/>
        <v>38922.635416666664</v>
      </c>
      <c r="I321">
        <v>110.447006</v>
      </c>
      <c r="J321">
        <v>-7.5410779999999997</v>
      </c>
      <c r="K321">
        <v>3.1669999999999998</v>
      </c>
      <c r="L321">
        <v>-10</v>
      </c>
      <c r="M321">
        <v>168.304</v>
      </c>
      <c r="N321">
        <v>7.7939999999999996</v>
      </c>
      <c r="O321">
        <v>7.4749999999999996</v>
      </c>
      <c r="P321">
        <v>11.25</v>
      </c>
      <c r="Q321">
        <v>-99.58</v>
      </c>
      <c r="R321">
        <v>155.38999999999999</v>
      </c>
      <c r="S321">
        <v>-58.29</v>
      </c>
      <c r="T321">
        <v>698</v>
      </c>
      <c r="U321">
        <v>552</v>
      </c>
      <c r="V321">
        <v>-0.40500000000000003</v>
      </c>
      <c r="W321">
        <v>161.99700000000001</v>
      </c>
    </row>
    <row r="322" spans="1:23" x14ac:dyDescent="0.35">
      <c r="A322">
        <v>1153800900</v>
      </c>
      <c r="B322" t="s">
        <v>22</v>
      </c>
      <c r="C322">
        <v>2006</v>
      </c>
      <c r="D322">
        <v>7</v>
      </c>
      <c r="E322">
        <v>24</v>
      </c>
      <c r="F322">
        <v>18</v>
      </c>
      <c r="G322">
        <v>15</v>
      </c>
      <c r="H322" s="1">
        <f t="shared" ref="H322:H385" si="5">(A322+2209125600)/86400</f>
        <v>38922.760416666664</v>
      </c>
      <c r="I322">
        <v>110.451286</v>
      </c>
      <c r="J322">
        <v>-7.5443059999999997</v>
      </c>
      <c r="K322">
        <v>0.95099999999999996</v>
      </c>
      <c r="L322">
        <v>1.2589999999999999</v>
      </c>
      <c r="M322">
        <v>177.35900000000001</v>
      </c>
      <c r="N322">
        <v>7.617</v>
      </c>
      <c r="O322">
        <v>7.2670000000000003</v>
      </c>
      <c r="P322">
        <v>19.809999999999999</v>
      </c>
      <c r="Q322">
        <v>-83.02</v>
      </c>
      <c r="R322">
        <v>154.58000000000001</v>
      </c>
      <c r="S322">
        <v>58.49</v>
      </c>
      <c r="T322">
        <v>640</v>
      </c>
      <c r="U322">
        <v>896</v>
      </c>
      <c r="V322">
        <v>-0.70499999999999996</v>
      </c>
      <c r="W322">
        <v>137.71899999999999</v>
      </c>
    </row>
    <row r="323" spans="1:23" x14ac:dyDescent="0.35">
      <c r="A323">
        <v>1153800900</v>
      </c>
      <c r="B323" t="s">
        <v>22</v>
      </c>
      <c r="C323">
        <v>2006</v>
      </c>
      <c r="D323">
        <v>7</v>
      </c>
      <c r="E323">
        <v>24</v>
      </c>
      <c r="F323">
        <v>18</v>
      </c>
      <c r="G323">
        <v>15</v>
      </c>
      <c r="H323" s="1">
        <f t="shared" si="5"/>
        <v>38922.760416666664</v>
      </c>
      <c r="I323">
        <v>110.44718899999999</v>
      </c>
      <c r="J323">
        <v>-7.5378959999999999</v>
      </c>
      <c r="K323">
        <v>0.98599999999999999</v>
      </c>
      <c r="L323">
        <v>0.92200000000000004</v>
      </c>
      <c r="M323">
        <v>177.35900000000001</v>
      </c>
      <c r="N323">
        <v>7.4459999999999997</v>
      </c>
      <c r="O323">
        <v>7.1459999999999999</v>
      </c>
      <c r="P323">
        <v>19.7</v>
      </c>
      <c r="Q323">
        <v>-80.62</v>
      </c>
      <c r="R323">
        <v>154.58000000000001</v>
      </c>
      <c r="S323">
        <v>58.48</v>
      </c>
      <c r="T323">
        <v>639</v>
      </c>
      <c r="U323">
        <v>895</v>
      </c>
      <c r="V323">
        <v>-0.77100000000000002</v>
      </c>
      <c r="W323">
        <v>138.15199999999999</v>
      </c>
    </row>
    <row r="324" spans="1:23" x14ac:dyDescent="0.35">
      <c r="A324">
        <v>1153962000</v>
      </c>
      <c r="B324" t="s">
        <v>23</v>
      </c>
      <c r="C324">
        <v>2006</v>
      </c>
      <c r="D324">
        <v>7</v>
      </c>
      <c r="E324">
        <v>26</v>
      </c>
      <c r="F324">
        <v>15</v>
      </c>
      <c r="G324">
        <v>0</v>
      </c>
      <c r="H324" s="1">
        <f t="shared" si="5"/>
        <v>38924.625</v>
      </c>
      <c r="I324">
        <v>110.43834699999999</v>
      </c>
      <c r="J324">
        <v>-7.5413940000000004</v>
      </c>
      <c r="K324">
        <v>0.90200000000000002</v>
      </c>
      <c r="L324">
        <v>1.006</v>
      </c>
      <c r="M324">
        <v>168.304</v>
      </c>
      <c r="N324">
        <v>7.5439999999999996</v>
      </c>
      <c r="O324">
        <v>7.1550000000000002</v>
      </c>
      <c r="P324">
        <v>18.239999999999998</v>
      </c>
      <c r="Q324">
        <v>81.59</v>
      </c>
      <c r="R324">
        <v>152.91999999999999</v>
      </c>
      <c r="S324">
        <v>-62.39</v>
      </c>
      <c r="T324">
        <v>1814</v>
      </c>
      <c r="U324">
        <v>879</v>
      </c>
      <c r="V324">
        <v>-0.753</v>
      </c>
      <c r="W324">
        <v>136.005</v>
      </c>
    </row>
    <row r="325" spans="1:23" x14ac:dyDescent="0.35">
      <c r="A325">
        <v>1153962000</v>
      </c>
      <c r="B325" t="s">
        <v>23</v>
      </c>
      <c r="C325">
        <v>2006</v>
      </c>
      <c r="D325">
        <v>7</v>
      </c>
      <c r="E325">
        <v>26</v>
      </c>
      <c r="F325">
        <v>15</v>
      </c>
      <c r="G325">
        <v>0</v>
      </c>
      <c r="H325" s="1">
        <f t="shared" si="5"/>
        <v>38924.625</v>
      </c>
      <c r="I325">
        <v>110.449219</v>
      </c>
      <c r="J325">
        <v>-7.5398769999999997</v>
      </c>
      <c r="K325">
        <v>1.286</v>
      </c>
      <c r="L325">
        <v>1.2569999999999999</v>
      </c>
      <c r="M325">
        <v>168.304</v>
      </c>
      <c r="N325">
        <v>7.6390000000000002</v>
      </c>
      <c r="O325">
        <v>7.298</v>
      </c>
      <c r="P325">
        <v>18.13</v>
      </c>
      <c r="Q325">
        <v>81.59</v>
      </c>
      <c r="R325">
        <v>152.97999999999999</v>
      </c>
      <c r="S325">
        <v>-62.38</v>
      </c>
      <c r="T325">
        <v>1814</v>
      </c>
      <c r="U325">
        <v>878</v>
      </c>
      <c r="V325">
        <v>-0.70599999999999996</v>
      </c>
      <c r="W325">
        <v>136.11799999999999</v>
      </c>
    </row>
    <row r="326" spans="1:23" x14ac:dyDescent="0.35">
      <c r="A326">
        <v>1153972800</v>
      </c>
      <c r="B326" t="s">
        <v>22</v>
      </c>
      <c r="C326">
        <v>2006</v>
      </c>
      <c r="D326">
        <v>7</v>
      </c>
      <c r="E326">
        <v>26</v>
      </c>
      <c r="F326">
        <v>18</v>
      </c>
      <c r="G326">
        <v>0</v>
      </c>
      <c r="H326" s="1">
        <f t="shared" si="5"/>
        <v>38924.75</v>
      </c>
      <c r="I326">
        <v>110.45249200000001</v>
      </c>
      <c r="J326">
        <v>-7.5404439999999999</v>
      </c>
      <c r="K326">
        <v>2.452</v>
      </c>
      <c r="L326">
        <v>-10</v>
      </c>
      <c r="M326">
        <v>177.09299999999999</v>
      </c>
      <c r="N326">
        <v>7.9349999999999996</v>
      </c>
      <c r="O326">
        <v>7.53</v>
      </c>
      <c r="P326">
        <v>9.4600000000000009</v>
      </c>
      <c r="Q326">
        <v>98.43</v>
      </c>
      <c r="R326">
        <v>157.33000000000001</v>
      </c>
      <c r="S326">
        <v>55.24</v>
      </c>
      <c r="T326">
        <v>1774</v>
      </c>
      <c r="U326">
        <v>571</v>
      </c>
      <c r="V326">
        <v>-0.50900000000000001</v>
      </c>
      <c r="W326">
        <v>163.86099999999999</v>
      </c>
    </row>
    <row r="327" spans="1:23" x14ac:dyDescent="0.35">
      <c r="A327">
        <v>1153972800</v>
      </c>
      <c r="B327" t="s">
        <v>22</v>
      </c>
      <c r="C327">
        <v>2006</v>
      </c>
      <c r="D327">
        <v>7</v>
      </c>
      <c r="E327">
        <v>26</v>
      </c>
      <c r="F327">
        <v>18</v>
      </c>
      <c r="G327">
        <v>0</v>
      </c>
      <c r="H327" s="1">
        <f t="shared" si="5"/>
        <v>38924.75</v>
      </c>
      <c r="I327">
        <v>110.443344</v>
      </c>
      <c r="J327">
        <v>-7.5390689999999996</v>
      </c>
      <c r="K327">
        <v>1.34</v>
      </c>
      <c r="L327">
        <v>1.2330000000000001</v>
      </c>
      <c r="M327">
        <v>177.09299999999999</v>
      </c>
      <c r="N327">
        <v>7.4050000000000002</v>
      </c>
      <c r="O327">
        <v>7.0890000000000004</v>
      </c>
      <c r="P327">
        <v>9.6199999999999992</v>
      </c>
      <c r="Q327">
        <v>98.43</v>
      </c>
      <c r="R327">
        <v>157.33000000000001</v>
      </c>
      <c r="S327">
        <v>55.23</v>
      </c>
      <c r="T327">
        <v>1774</v>
      </c>
      <c r="U327">
        <v>570</v>
      </c>
      <c r="V327">
        <v>-0.70399999999999996</v>
      </c>
      <c r="W327">
        <v>163.93299999999999</v>
      </c>
    </row>
    <row r="328" spans="1:23" x14ac:dyDescent="0.35">
      <c r="A328">
        <v>1154145000</v>
      </c>
      <c r="B328" t="s">
        <v>22</v>
      </c>
      <c r="C328">
        <v>2006</v>
      </c>
      <c r="D328">
        <v>7</v>
      </c>
      <c r="E328">
        <v>28</v>
      </c>
      <c r="F328">
        <v>17</v>
      </c>
      <c r="G328">
        <v>50</v>
      </c>
      <c r="H328" s="1">
        <f t="shared" si="5"/>
        <v>38926.743055555555</v>
      </c>
      <c r="I328">
        <v>110.45298</v>
      </c>
      <c r="J328">
        <v>-7.5380229999999999</v>
      </c>
      <c r="K328">
        <v>1.742</v>
      </c>
      <c r="L328">
        <v>1.7410000000000001</v>
      </c>
      <c r="M328">
        <v>177.072</v>
      </c>
      <c r="N328">
        <v>7.7290000000000001</v>
      </c>
      <c r="O328">
        <v>7.3860000000000001</v>
      </c>
      <c r="P328">
        <v>35.14</v>
      </c>
      <c r="Q328">
        <v>99.35</v>
      </c>
      <c r="R328">
        <v>160.08000000000001</v>
      </c>
      <c r="S328">
        <v>52.8</v>
      </c>
      <c r="T328">
        <v>891</v>
      </c>
      <c r="U328">
        <v>290</v>
      </c>
      <c r="V328">
        <v>-0.61799999999999999</v>
      </c>
      <c r="W328">
        <v>154.55500000000001</v>
      </c>
    </row>
    <row r="329" spans="1:23" x14ac:dyDescent="0.35">
      <c r="A329">
        <v>1154395200</v>
      </c>
      <c r="B329" t="s">
        <v>23</v>
      </c>
      <c r="C329">
        <v>2006</v>
      </c>
      <c r="D329">
        <v>7</v>
      </c>
      <c r="E329">
        <v>31</v>
      </c>
      <c r="F329">
        <v>15</v>
      </c>
      <c r="G329">
        <v>20</v>
      </c>
      <c r="H329" s="1">
        <f t="shared" si="5"/>
        <v>38929.638888888891</v>
      </c>
      <c r="I329">
        <v>110.44689200000001</v>
      </c>
      <c r="J329">
        <v>-7.5426140000000004</v>
      </c>
      <c r="K329">
        <v>1.8089999999999999</v>
      </c>
      <c r="L329">
        <v>1.956</v>
      </c>
      <c r="M329">
        <v>168.304</v>
      </c>
      <c r="N329">
        <v>7.6849999999999996</v>
      </c>
      <c r="O329">
        <v>7.3310000000000004</v>
      </c>
      <c r="P329">
        <v>24.95</v>
      </c>
      <c r="Q329">
        <v>-98.09</v>
      </c>
      <c r="R329">
        <v>157.44999999999999</v>
      </c>
      <c r="S329">
        <v>-60.59</v>
      </c>
      <c r="T329">
        <v>1153</v>
      </c>
      <c r="U329">
        <v>401</v>
      </c>
      <c r="V329">
        <v>-0.57899999999999996</v>
      </c>
      <c r="W329">
        <v>164.84100000000001</v>
      </c>
    </row>
    <row r="330" spans="1:23" x14ac:dyDescent="0.35">
      <c r="A330">
        <v>1154406000</v>
      </c>
      <c r="B330" t="s">
        <v>22</v>
      </c>
      <c r="C330">
        <v>2006</v>
      </c>
      <c r="D330">
        <v>7</v>
      </c>
      <c r="E330">
        <v>31</v>
      </c>
      <c r="F330">
        <v>18</v>
      </c>
      <c r="G330">
        <v>20</v>
      </c>
      <c r="H330" s="1">
        <f t="shared" si="5"/>
        <v>38929.763888888891</v>
      </c>
      <c r="I330">
        <v>110.450073</v>
      </c>
      <c r="J330">
        <v>-7.538322</v>
      </c>
      <c r="K330">
        <v>1.0169999999999999</v>
      </c>
      <c r="L330">
        <v>0.97899999999999998</v>
      </c>
      <c r="M330">
        <v>177.03899999999999</v>
      </c>
      <c r="N330">
        <v>7.2329999999999997</v>
      </c>
      <c r="O330">
        <v>6.968</v>
      </c>
      <c r="P330">
        <v>32.229999999999997</v>
      </c>
      <c r="Q330">
        <v>-81.88</v>
      </c>
      <c r="R330">
        <v>153.84</v>
      </c>
      <c r="S330">
        <v>63.09</v>
      </c>
      <c r="T330">
        <v>1156</v>
      </c>
      <c r="U330">
        <v>1032</v>
      </c>
      <c r="V330">
        <v>-0.754</v>
      </c>
      <c r="W330">
        <v>125.114</v>
      </c>
    </row>
    <row r="331" spans="1:23" x14ac:dyDescent="0.35">
      <c r="A331">
        <v>1154567400</v>
      </c>
      <c r="B331" t="s">
        <v>23</v>
      </c>
      <c r="C331">
        <v>2006</v>
      </c>
      <c r="D331">
        <v>8</v>
      </c>
      <c r="E331">
        <v>2</v>
      </c>
      <c r="F331">
        <v>15</v>
      </c>
      <c r="G331">
        <v>10</v>
      </c>
      <c r="H331" s="1">
        <f t="shared" si="5"/>
        <v>38931.631944444445</v>
      </c>
      <c r="I331">
        <v>110.445976</v>
      </c>
      <c r="J331">
        <v>-7.5397730000000003</v>
      </c>
      <c r="K331">
        <v>1.5409999999999999</v>
      </c>
      <c r="L331">
        <v>1.5840000000000001</v>
      </c>
      <c r="M331">
        <v>168.304</v>
      </c>
      <c r="N331">
        <v>7.4130000000000003</v>
      </c>
      <c r="O331">
        <v>7.1440000000000001</v>
      </c>
      <c r="P331">
        <v>3.72</v>
      </c>
      <c r="Q331">
        <v>86.69</v>
      </c>
      <c r="R331">
        <v>154.99</v>
      </c>
      <c r="S331">
        <v>-63.94</v>
      </c>
      <c r="T331">
        <v>239</v>
      </c>
      <c r="U331">
        <v>718</v>
      </c>
      <c r="V331">
        <v>-0.63700000000000001</v>
      </c>
      <c r="W331">
        <v>151.55699999999999</v>
      </c>
    </row>
    <row r="332" spans="1:23" x14ac:dyDescent="0.35">
      <c r="A332">
        <v>1154578200</v>
      </c>
      <c r="B332" t="s">
        <v>22</v>
      </c>
      <c r="C332">
        <v>2006</v>
      </c>
      <c r="D332">
        <v>8</v>
      </c>
      <c r="E332">
        <v>2</v>
      </c>
      <c r="F332">
        <v>18</v>
      </c>
      <c r="G332">
        <v>10</v>
      </c>
      <c r="H332" s="1">
        <f t="shared" si="5"/>
        <v>38931.756944444445</v>
      </c>
      <c r="I332">
        <v>110.44663199999999</v>
      </c>
      <c r="J332">
        <v>-7.5450010000000001</v>
      </c>
      <c r="K332">
        <v>0.95799999999999996</v>
      </c>
      <c r="L332">
        <v>0.96799999999999997</v>
      </c>
      <c r="M332">
        <v>177.018</v>
      </c>
      <c r="N332">
        <v>7.2610000000000001</v>
      </c>
      <c r="O332">
        <v>6.9539999999999997</v>
      </c>
      <c r="P332">
        <v>5.43</v>
      </c>
      <c r="Q332">
        <v>-76.95</v>
      </c>
      <c r="R332">
        <v>156.69999999999999</v>
      </c>
      <c r="S332">
        <v>62.07</v>
      </c>
      <c r="T332">
        <v>259</v>
      </c>
      <c r="U332">
        <v>737</v>
      </c>
      <c r="V332">
        <v>-0.75600000000000001</v>
      </c>
      <c r="W332">
        <v>152.529</v>
      </c>
    </row>
    <row r="333" spans="1:23" x14ac:dyDescent="0.35">
      <c r="A333">
        <v>1154578200</v>
      </c>
      <c r="B333" t="s">
        <v>22</v>
      </c>
      <c r="C333">
        <v>2006</v>
      </c>
      <c r="D333">
        <v>8</v>
      </c>
      <c r="E333">
        <v>2</v>
      </c>
      <c r="F333">
        <v>18</v>
      </c>
      <c r="G333">
        <v>10</v>
      </c>
      <c r="H333" s="1">
        <f t="shared" si="5"/>
        <v>38931.756944444445</v>
      </c>
      <c r="I333">
        <v>110.44787599999999</v>
      </c>
      <c r="J333">
        <v>-7.536016</v>
      </c>
      <c r="K333">
        <v>0.91700000000000004</v>
      </c>
      <c r="L333">
        <v>0.86</v>
      </c>
      <c r="M333">
        <v>177.018</v>
      </c>
      <c r="N333">
        <v>7.2549999999999999</v>
      </c>
      <c r="O333">
        <v>7.0049999999999999</v>
      </c>
      <c r="P333">
        <v>5.43</v>
      </c>
      <c r="Q333">
        <v>-77.86</v>
      </c>
      <c r="R333">
        <v>156.69999999999999</v>
      </c>
      <c r="S333">
        <v>62.05</v>
      </c>
      <c r="T333">
        <v>258</v>
      </c>
      <c r="U333">
        <v>737</v>
      </c>
      <c r="V333">
        <v>-0.78100000000000003</v>
      </c>
      <c r="W333">
        <v>152.477</v>
      </c>
    </row>
    <row r="334" spans="1:23" x14ac:dyDescent="0.35">
      <c r="A334">
        <v>1154739300</v>
      </c>
      <c r="B334" t="s">
        <v>23</v>
      </c>
      <c r="C334">
        <v>2006</v>
      </c>
      <c r="D334">
        <v>8</v>
      </c>
      <c r="E334">
        <v>4</v>
      </c>
      <c r="F334">
        <v>14</v>
      </c>
      <c r="G334">
        <v>55</v>
      </c>
      <c r="H334" s="1">
        <f t="shared" si="5"/>
        <v>38933.621527777781</v>
      </c>
      <c r="I334">
        <v>110.439018</v>
      </c>
      <c r="J334">
        <v>-7.5453080000000003</v>
      </c>
      <c r="K334">
        <v>1.075</v>
      </c>
      <c r="L334">
        <v>1.17</v>
      </c>
      <c r="M334">
        <v>168.30500000000001</v>
      </c>
      <c r="N334">
        <v>7.5190000000000001</v>
      </c>
      <c r="O334">
        <v>7.1459999999999999</v>
      </c>
      <c r="P334">
        <v>30.89</v>
      </c>
      <c r="Q334">
        <v>81.59</v>
      </c>
      <c r="R334">
        <v>152.41</v>
      </c>
      <c r="S334">
        <v>-67.56</v>
      </c>
      <c r="T334">
        <v>1362</v>
      </c>
      <c r="U334">
        <v>1018</v>
      </c>
      <c r="V334">
        <v>-0.71899999999999997</v>
      </c>
      <c r="W334">
        <v>123.105</v>
      </c>
    </row>
    <row r="335" spans="1:23" x14ac:dyDescent="0.35">
      <c r="A335">
        <v>1154739300</v>
      </c>
      <c r="B335" t="s">
        <v>23</v>
      </c>
      <c r="C335">
        <v>2006</v>
      </c>
      <c r="D335">
        <v>8</v>
      </c>
      <c r="E335">
        <v>4</v>
      </c>
      <c r="F335">
        <v>14</v>
      </c>
      <c r="G335">
        <v>55</v>
      </c>
      <c r="H335" s="1">
        <f t="shared" si="5"/>
        <v>38933.621527777781</v>
      </c>
      <c r="I335">
        <v>110.45199599999999</v>
      </c>
      <c r="J335">
        <v>-7.5435150000000002</v>
      </c>
      <c r="K335">
        <v>0.89600000000000002</v>
      </c>
      <c r="L335">
        <v>0.82299999999999995</v>
      </c>
      <c r="M335">
        <v>168.30500000000001</v>
      </c>
      <c r="N335">
        <v>7.4080000000000004</v>
      </c>
      <c r="O335">
        <v>7.1189999999999998</v>
      </c>
      <c r="P335">
        <v>30.89</v>
      </c>
      <c r="Q335">
        <v>81.59</v>
      </c>
      <c r="R335">
        <v>152.46</v>
      </c>
      <c r="S335">
        <v>-67.55</v>
      </c>
      <c r="T335">
        <v>1362</v>
      </c>
      <c r="U335">
        <v>1017</v>
      </c>
      <c r="V335">
        <v>-0.79300000000000004</v>
      </c>
      <c r="W335">
        <v>123.117</v>
      </c>
    </row>
    <row r="336" spans="1:23" x14ac:dyDescent="0.35">
      <c r="A336">
        <v>1154750100</v>
      </c>
      <c r="B336" t="s">
        <v>22</v>
      </c>
      <c r="C336">
        <v>2006</v>
      </c>
      <c r="D336">
        <v>8</v>
      </c>
      <c r="E336">
        <v>4</v>
      </c>
      <c r="F336">
        <v>17</v>
      </c>
      <c r="G336">
        <v>55</v>
      </c>
      <c r="H336" s="1">
        <f t="shared" si="5"/>
        <v>38933.746527777781</v>
      </c>
      <c r="I336">
        <v>110.449173</v>
      </c>
      <c r="J336">
        <v>-7.5439499999999997</v>
      </c>
      <c r="K336">
        <v>2.3450000000000002</v>
      </c>
      <c r="L336">
        <v>-10</v>
      </c>
      <c r="M336">
        <v>176.99700000000001</v>
      </c>
      <c r="N336">
        <v>7.7670000000000003</v>
      </c>
      <c r="O336">
        <v>7.3959999999999999</v>
      </c>
      <c r="P336">
        <v>23.39</v>
      </c>
      <c r="Q336">
        <v>98.84</v>
      </c>
      <c r="R336">
        <v>159.51</v>
      </c>
      <c r="S336">
        <v>59.27</v>
      </c>
      <c r="T336">
        <v>1393</v>
      </c>
      <c r="U336">
        <v>418</v>
      </c>
      <c r="V336">
        <v>-0.51900000000000002</v>
      </c>
      <c r="W336">
        <v>165.297</v>
      </c>
    </row>
    <row r="337" spans="1:23" x14ac:dyDescent="0.35">
      <c r="A337">
        <v>1154922300</v>
      </c>
      <c r="B337" t="s">
        <v>22</v>
      </c>
      <c r="C337">
        <v>2006</v>
      </c>
      <c r="D337">
        <v>8</v>
      </c>
      <c r="E337">
        <v>6</v>
      </c>
      <c r="F337">
        <v>17</v>
      </c>
      <c r="G337">
        <v>45</v>
      </c>
      <c r="H337" s="1">
        <f t="shared" si="5"/>
        <v>38935.739583333336</v>
      </c>
      <c r="I337">
        <v>110.45302599999999</v>
      </c>
      <c r="J337">
        <v>-7.5454429999999997</v>
      </c>
      <c r="K337">
        <v>0.78800000000000003</v>
      </c>
      <c r="L337">
        <v>0.82899999999999996</v>
      </c>
      <c r="M337">
        <v>176.97499999999999</v>
      </c>
      <c r="N337">
        <v>7.1689999999999996</v>
      </c>
      <c r="O337">
        <v>6.8730000000000002</v>
      </c>
      <c r="P337">
        <v>44.76</v>
      </c>
      <c r="Q337">
        <v>98.61</v>
      </c>
      <c r="R337">
        <v>162.32</v>
      </c>
      <c r="S337">
        <v>57.3</v>
      </c>
      <c r="T337">
        <v>498</v>
      </c>
      <c r="U337">
        <v>190</v>
      </c>
      <c r="V337">
        <v>-0.78500000000000003</v>
      </c>
      <c r="W337">
        <v>146.69800000000001</v>
      </c>
    </row>
    <row r="338" spans="1:23" x14ac:dyDescent="0.35">
      <c r="A338">
        <v>1154922300</v>
      </c>
      <c r="B338" t="s">
        <v>22</v>
      </c>
      <c r="C338">
        <v>2006</v>
      </c>
      <c r="D338">
        <v>8</v>
      </c>
      <c r="E338">
        <v>6</v>
      </c>
      <c r="F338">
        <v>17</v>
      </c>
      <c r="G338">
        <v>45</v>
      </c>
      <c r="H338" s="1">
        <f t="shared" si="5"/>
        <v>38935.739583333336</v>
      </c>
      <c r="I338">
        <v>110.450272</v>
      </c>
      <c r="J338">
        <v>-7.5392619999999999</v>
      </c>
      <c r="K338">
        <v>0.83299999999999996</v>
      </c>
      <c r="L338">
        <v>0.96899999999999997</v>
      </c>
      <c r="M338">
        <v>176.97499999999999</v>
      </c>
      <c r="N338">
        <v>7.2060000000000004</v>
      </c>
      <c r="O338">
        <v>6.9290000000000003</v>
      </c>
      <c r="P338">
        <v>44.76</v>
      </c>
      <c r="Q338">
        <v>99.58</v>
      </c>
      <c r="R338">
        <v>162.32</v>
      </c>
      <c r="S338">
        <v>57.28</v>
      </c>
      <c r="T338">
        <v>500</v>
      </c>
      <c r="U338">
        <v>190</v>
      </c>
      <c r="V338">
        <v>-0.755</v>
      </c>
      <c r="W338">
        <v>146.44499999999999</v>
      </c>
    </row>
    <row r="339" spans="1:23" x14ac:dyDescent="0.35">
      <c r="A339">
        <v>1155000300</v>
      </c>
      <c r="B339" t="s">
        <v>23</v>
      </c>
      <c r="C339">
        <v>2006</v>
      </c>
      <c r="D339">
        <v>8</v>
      </c>
      <c r="E339">
        <v>7</v>
      </c>
      <c r="F339">
        <v>15</v>
      </c>
      <c r="G339">
        <v>25</v>
      </c>
      <c r="H339" s="1">
        <f t="shared" si="5"/>
        <v>38936.642361111109</v>
      </c>
      <c r="I339">
        <v>110.445122</v>
      </c>
      <c r="J339">
        <v>-7.5478899999999998</v>
      </c>
      <c r="K339">
        <v>1.6930000000000001</v>
      </c>
      <c r="L339">
        <v>1.93</v>
      </c>
      <c r="M339">
        <v>168.30600000000001</v>
      </c>
      <c r="N339">
        <v>7.0720000000000001</v>
      </c>
      <c r="O339">
        <v>6.7939999999999996</v>
      </c>
      <c r="P339">
        <v>36.479999999999997</v>
      </c>
      <c r="Q339">
        <v>-98.49</v>
      </c>
      <c r="R339">
        <v>159.68</v>
      </c>
      <c r="S339">
        <v>-63.7</v>
      </c>
      <c r="T339">
        <v>1613</v>
      </c>
      <c r="U339">
        <v>277</v>
      </c>
      <c r="V339">
        <v>-0.55800000000000005</v>
      </c>
      <c r="W339">
        <v>157.85</v>
      </c>
    </row>
    <row r="340" spans="1:23" x14ac:dyDescent="0.35">
      <c r="A340">
        <v>1155000300</v>
      </c>
      <c r="B340" t="s">
        <v>23</v>
      </c>
      <c r="C340">
        <v>2006</v>
      </c>
      <c r="D340">
        <v>8</v>
      </c>
      <c r="E340">
        <v>7</v>
      </c>
      <c r="F340">
        <v>15</v>
      </c>
      <c r="G340">
        <v>25</v>
      </c>
      <c r="H340" s="1">
        <f t="shared" si="5"/>
        <v>38936.642361111109</v>
      </c>
      <c r="I340">
        <v>110.459457</v>
      </c>
      <c r="J340">
        <v>-7.545712</v>
      </c>
      <c r="K340">
        <v>0.99299999999999999</v>
      </c>
      <c r="L340">
        <v>0.89400000000000002</v>
      </c>
      <c r="M340">
        <v>168.30600000000001</v>
      </c>
      <c r="N340">
        <v>7.1189999999999998</v>
      </c>
      <c r="O340">
        <v>6.8159999999999998</v>
      </c>
      <c r="P340">
        <v>36.71</v>
      </c>
      <c r="Q340">
        <v>-98.49</v>
      </c>
      <c r="R340">
        <v>159.68</v>
      </c>
      <c r="S340">
        <v>-63.68</v>
      </c>
      <c r="T340">
        <v>1613</v>
      </c>
      <c r="U340">
        <v>276</v>
      </c>
      <c r="V340">
        <v>-0.76800000000000002</v>
      </c>
      <c r="W340">
        <v>157.65100000000001</v>
      </c>
    </row>
    <row r="341" spans="1:23" x14ac:dyDescent="0.35">
      <c r="A341">
        <v>1155094200</v>
      </c>
      <c r="B341" t="s">
        <v>22</v>
      </c>
      <c r="C341">
        <v>2006</v>
      </c>
      <c r="D341">
        <v>8</v>
      </c>
      <c r="E341">
        <v>8</v>
      </c>
      <c r="F341">
        <v>17</v>
      </c>
      <c r="G341">
        <v>30</v>
      </c>
      <c r="H341" s="1">
        <f t="shared" si="5"/>
        <v>38937.729166666664</v>
      </c>
      <c r="I341">
        <v>110.45285800000001</v>
      </c>
      <c r="J341">
        <v>-7.5403719999999996</v>
      </c>
      <c r="K341">
        <v>0.86099999999999999</v>
      </c>
      <c r="L341">
        <v>0.83699999999999997</v>
      </c>
      <c r="M341">
        <v>176.95400000000001</v>
      </c>
      <c r="N341">
        <v>7.1840000000000002</v>
      </c>
      <c r="O341">
        <v>6.8780000000000001</v>
      </c>
      <c r="P341">
        <v>58.64</v>
      </c>
      <c r="Q341">
        <v>99.35</v>
      </c>
      <c r="R341">
        <v>165.07</v>
      </c>
      <c r="S341">
        <v>52.01</v>
      </c>
      <c r="T341">
        <v>1646</v>
      </c>
      <c r="U341">
        <v>56</v>
      </c>
      <c r="V341">
        <v>-0.78300000000000003</v>
      </c>
      <c r="W341">
        <v>130.23599999999999</v>
      </c>
    </row>
    <row r="342" spans="1:23" x14ac:dyDescent="0.35">
      <c r="A342">
        <v>1155094200</v>
      </c>
      <c r="B342" t="s">
        <v>22</v>
      </c>
      <c r="C342">
        <v>2006</v>
      </c>
      <c r="D342">
        <v>8</v>
      </c>
      <c r="E342">
        <v>8</v>
      </c>
      <c r="F342">
        <v>17</v>
      </c>
      <c r="G342">
        <v>30</v>
      </c>
      <c r="H342" s="1">
        <f t="shared" si="5"/>
        <v>38937.729166666664</v>
      </c>
      <c r="I342">
        <v>110.449783</v>
      </c>
      <c r="J342">
        <v>-7.5380659999999997</v>
      </c>
      <c r="K342">
        <v>0.69099999999999995</v>
      </c>
      <c r="L342">
        <v>0.78700000000000003</v>
      </c>
      <c r="M342">
        <v>176.95400000000001</v>
      </c>
      <c r="N342">
        <v>7.2560000000000002</v>
      </c>
      <c r="O342">
        <v>6.9539999999999997</v>
      </c>
      <c r="P342">
        <v>58.64</v>
      </c>
      <c r="Q342">
        <v>99.98</v>
      </c>
      <c r="R342">
        <v>165.07</v>
      </c>
      <c r="S342">
        <v>52</v>
      </c>
      <c r="T342">
        <v>1650</v>
      </c>
      <c r="U342">
        <v>56</v>
      </c>
      <c r="V342">
        <v>-0.79700000000000004</v>
      </c>
      <c r="W342">
        <v>130.10499999999999</v>
      </c>
    </row>
    <row r="343" spans="1:23" x14ac:dyDescent="0.35">
      <c r="A343">
        <v>1155344400</v>
      </c>
      <c r="B343" t="s">
        <v>23</v>
      </c>
      <c r="C343">
        <v>2006</v>
      </c>
      <c r="D343">
        <v>8</v>
      </c>
      <c r="E343">
        <v>11</v>
      </c>
      <c r="F343">
        <v>15</v>
      </c>
      <c r="G343">
        <v>0</v>
      </c>
      <c r="H343" s="1">
        <f t="shared" si="5"/>
        <v>38940.625</v>
      </c>
      <c r="I343">
        <v>110.44509100000001</v>
      </c>
      <c r="J343">
        <v>-7.539695</v>
      </c>
      <c r="K343">
        <v>0.90500000000000003</v>
      </c>
      <c r="L343">
        <v>0.995</v>
      </c>
      <c r="M343">
        <v>168.30600000000001</v>
      </c>
      <c r="N343">
        <v>7.0629999999999997</v>
      </c>
      <c r="O343">
        <v>6.798</v>
      </c>
      <c r="P343">
        <v>18.239999999999998</v>
      </c>
      <c r="Q343">
        <v>81.3</v>
      </c>
      <c r="R343">
        <v>154.58000000000001</v>
      </c>
      <c r="S343">
        <v>-70.89</v>
      </c>
      <c r="T343">
        <v>1813</v>
      </c>
      <c r="U343">
        <v>879</v>
      </c>
      <c r="V343">
        <v>-0.745</v>
      </c>
      <c r="W343">
        <v>136.64099999999999</v>
      </c>
    </row>
    <row r="344" spans="1:23" x14ac:dyDescent="0.35">
      <c r="A344">
        <v>1155355200</v>
      </c>
      <c r="B344" t="s">
        <v>22</v>
      </c>
      <c r="C344">
        <v>2006</v>
      </c>
      <c r="D344">
        <v>8</v>
      </c>
      <c r="E344">
        <v>11</v>
      </c>
      <c r="F344">
        <v>18</v>
      </c>
      <c r="G344">
        <v>0</v>
      </c>
      <c r="H344" s="1">
        <f t="shared" si="5"/>
        <v>38940.75</v>
      </c>
      <c r="I344">
        <v>110.450676</v>
      </c>
      <c r="J344">
        <v>-7.5392640000000002</v>
      </c>
      <c r="K344">
        <v>0.81299999999999994</v>
      </c>
      <c r="L344">
        <v>0.77500000000000002</v>
      </c>
      <c r="M344">
        <v>176.92099999999999</v>
      </c>
      <c r="N344">
        <v>6.9320000000000004</v>
      </c>
      <c r="O344">
        <v>6.6769999999999996</v>
      </c>
      <c r="P344">
        <v>9.4</v>
      </c>
      <c r="Q344">
        <v>100.04</v>
      </c>
      <c r="R344">
        <v>158.65</v>
      </c>
      <c r="S344">
        <v>66.23</v>
      </c>
      <c r="T344">
        <v>1891</v>
      </c>
      <c r="U344">
        <v>572</v>
      </c>
      <c r="V344">
        <v>-0.79200000000000004</v>
      </c>
      <c r="W344">
        <v>166.54900000000001</v>
      </c>
    </row>
    <row r="345" spans="1:23" x14ac:dyDescent="0.35">
      <c r="A345">
        <v>1155688500</v>
      </c>
      <c r="B345" t="s">
        <v>23</v>
      </c>
      <c r="C345">
        <v>2006</v>
      </c>
      <c r="D345">
        <v>8</v>
      </c>
      <c r="E345">
        <v>15</v>
      </c>
      <c r="F345">
        <v>14</v>
      </c>
      <c r="G345">
        <v>35</v>
      </c>
      <c r="H345" s="1">
        <f t="shared" si="5"/>
        <v>38944.607638888891</v>
      </c>
      <c r="I345">
        <v>110.427498</v>
      </c>
      <c r="J345">
        <v>-7.5474560000000004</v>
      </c>
      <c r="K345">
        <v>0.77300000000000002</v>
      </c>
      <c r="L345">
        <v>0.81200000000000006</v>
      </c>
      <c r="M345">
        <v>168.30699999999999</v>
      </c>
      <c r="N345">
        <v>7.48</v>
      </c>
      <c r="O345">
        <v>7.1360000000000001</v>
      </c>
      <c r="P345">
        <v>56.62</v>
      </c>
      <c r="Q345">
        <v>82.51</v>
      </c>
      <c r="R345">
        <v>149.19999999999999</v>
      </c>
      <c r="S345">
        <v>-75.66</v>
      </c>
      <c r="T345">
        <v>2013</v>
      </c>
      <c r="U345">
        <v>1279</v>
      </c>
      <c r="V345">
        <v>-0.79600000000000004</v>
      </c>
      <c r="W345">
        <v>93.198999999999998</v>
      </c>
    </row>
    <row r="346" spans="1:23" x14ac:dyDescent="0.35">
      <c r="A346">
        <v>1155688500</v>
      </c>
      <c r="B346" t="s">
        <v>23</v>
      </c>
      <c r="C346">
        <v>2006</v>
      </c>
      <c r="D346">
        <v>8</v>
      </c>
      <c r="E346">
        <v>15</v>
      </c>
      <c r="F346">
        <v>14</v>
      </c>
      <c r="G346">
        <v>35</v>
      </c>
      <c r="H346" s="1">
        <f t="shared" si="5"/>
        <v>38944.607638888891</v>
      </c>
      <c r="I346">
        <v>110.44229900000001</v>
      </c>
      <c r="J346">
        <v>-7.5461650000000002</v>
      </c>
      <c r="K346">
        <v>0.82</v>
      </c>
      <c r="L346">
        <v>0.85499999999999998</v>
      </c>
      <c r="M346">
        <v>168.30699999999999</v>
      </c>
      <c r="N346">
        <v>7.3940000000000001</v>
      </c>
      <c r="O346">
        <v>7.0810000000000004</v>
      </c>
      <c r="P346">
        <v>56.62</v>
      </c>
      <c r="Q346">
        <v>83.14</v>
      </c>
      <c r="R346">
        <v>149.19999999999999</v>
      </c>
      <c r="S346">
        <v>-75.66</v>
      </c>
      <c r="T346">
        <v>2009</v>
      </c>
      <c r="U346">
        <v>1279</v>
      </c>
      <c r="V346">
        <v>-0.78500000000000003</v>
      </c>
      <c r="W346">
        <v>93.111000000000004</v>
      </c>
    </row>
    <row r="347" spans="1:23" x14ac:dyDescent="0.35">
      <c r="A347">
        <v>1155777600</v>
      </c>
      <c r="B347" t="s">
        <v>23</v>
      </c>
      <c r="C347">
        <v>2006</v>
      </c>
      <c r="D347">
        <v>8</v>
      </c>
      <c r="E347">
        <v>16</v>
      </c>
      <c r="F347">
        <v>15</v>
      </c>
      <c r="G347">
        <v>20</v>
      </c>
      <c r="H347" s="1">
        <f t="shared" si="5"/>
        <v>38945.638888888891</v>
      </c>
      <c r="I347">
        <v>110.446854</v>
      </c>
      <c r="J347">
        <v>-7.5468419999999998</v>
      </c>
      <c r="K347">
        <v>0.82299999999999995</v>
      </c>
      <c r="L347">
        <v>0.87</v>
      </c>
      <c r="M347">
        <v>168.30699999999999</v>
      </c>
      <c r="N347">
        <v>7.7149999999999999</v>
      </c>
      <c r="O347">
        <v>7.3460000000000001</v>
      </c>
      <c r="P347">
        <v>24.95</v>
      </c>
      <c r="Q347">
        <v>-98.55</v>
      </c>
      <c r="R347">
        <v>159.51</v>
      </c>
      <c r="S347">
        <v>-71.510000000000005</v>
      </c>
      <c r="T347">
        <v>1145</v>
      </c>
      <c r="U347">
        <v>402</v>
      </c>
      <c r="V347">
        <v>-0.78800000000000003</v>
      </c>
      <c r="W347">
        <v>168.858</v>
      </c>
    </row>
    <row r="348" spans="1:23" x14ac:dyDescent="0.35">
      <c r="A348">
        <v>1155949800</v>
      </c>
      <c r="B348" t="s">
        <v>23</v>
      </c>
      <c r="C348">
        <v>2006</v>
      </c>
      <c r="D348">
        <v>8</v>
      </c>
      <c r="E348">
        <v>18</v>
      </c>
      <c r="F348">
        <v>15</v>
      </c>
      <c r="G348">
        <v>10</v>
      </c>
      <c r="H348" s="1">
        <f t="shared" si="5"/>
        <v>38947.631944444445</v>
      </c>
      <c r="I348">
        <v>110.44664</v>
      </c>
      <c r="J348">
        <v>-7.5422409999999998</v>
      </c>
      <c r="K348">
        <v>1.236</v>
      </c>
      <c r="L348">
        <v>1.274</v>
      </c>
      <c r="M348">
        <v>168.30699999999999</v>
      </c>
      <c r="N348">
        <v>7.3470000000000004</v>
      </c>
      <c r="O348">
        <v>7.0039999999999996</v>
      </c>
      <c r="P348">
        <v>3.78</v>
      </c>
      <c r="Q348">
        <v>86.57</v>
      </c>
      <c r="R348">
        <v>156.88</v>
      </c>
      <c r="S348">
        <v>-74.52</v>
      </c>
      <c r="T348">
        <v>229</v>
      </c>
      <c r="U348">
        <v>719</v>
      </c>
      <c r="V348">
        <v>-0.69199999999999995</v>
      </c>
      <c r="W348">
        <v>153.12200000000001</v>
      </c>
    </row>
    <row r="349" spans="1:23" x14ac:dyDescent="0.35">
      <c r="A349">
        <v>1155960600</v>
      </c>
      <c r="B349" t="s">
        <v>22</v>
      </c>
      <c r="C349">
        <v>2006</v>
      </c>
      <c r="D349">
        <v>8</v>
      </c>
      <c r="E349">
        <v>18</v>
      </c>
      <c r="F349">
        <v>18</v>
      </c>
      <c r="G349">
        <v>10</v>
      </c>
      <c r="H349" s="1">
        <f t="shared" si="5"/>
        <v>38947.756944444445</v>
      </c>
      <c r="I349">
        <v>110.45156900000001</v>
      </c>
      <c r="J349">
        <v>-7.5452250000000003</v>
      </c>
      <c r="K349">
        <v>1.9810000000000001</v>
      </c>
      <c r="L349">
        <v>2.0139999999999998</v>
      </c>
      <c r="M349">
        <v>176.87</v>
      </c>
      <c r="N349">
        <v>7.59</v>
      </c>
      <c r="O349">
        <v>7.1970000000000001</v>
      </c>
      <c r="P349">
        <v>5.54</v>
      </c>
      <c r="Q349">
        <v>-78.95</v>
      </c>
      <c r="R349">
        <v>157.51</v>
      </c>
      <c r="S349">
        <v>74.12</v>
      </c>
      <c r="T349">
        <v>367</v>
      </c>
      <c r="U349">
        <v>738</v>
      </c>
      <c r="V349">
        <v>-0.56299999999999994</v>
      </c>
      <c r="W349">
        <v>152.648</v>
      </c>
    </row>
    <row r="350" spans="1:23" x14ac:dyDescent="0.35">
      <c r="A350">
        <v>1156121700</v>
      </c>
      <c r="B350" t="s">
        <v>23</v>
      </c>
      <c r="C350">
        <v>2006</v>
      </c>
      <c r="D350">
        <v>8</v>
      </c>
      <c r="E350">
        <v>20</v>
      </c>
      <c r="F350">
        <v>14</v>
      </c>
      <c r="G350">
        <v>55</v>
      </c>
      <c r="H350" s="1">
        <f t="shared" si="5"/>
        <v>38949.621527777781</v>
      </c>
      <c r="I350">
        <v>110.444298</v>
      </c>
      <c r="J350">
        <v>-7.5444430000000002</v>
      </c>
      <c r="K350">
        <v>0.877</v>
      </c>
      <c r="L350">
        <v>0.90700000000000003</v>
      </c>
      <c r="M350">
        <v>168.30699999999999</v>
      </c>
      <c r="N350">
        <v>7.58</v>
      </c>
      <c r="O350">
        <v>7.2359999999999998</v>
      </c>
      <c r="P350">
        <v>31.11</v>
      </c>
      <c r="Q350">
        <v>82.79</v>
      </c>
      <c r="R350">
        <v>154.13</v>
      </c>
      <c r="S350">
        <v>-77.45</v>
      </c>
      <c r="T350">
        <v>1349</v>
      </c>
      <c r="U350">
        <v>1019</v>
      </c>
      <c r="V350">
        <v>-0.77700000000000002</v>
      </c>
      <c r="W350">
        <v>123.151</v>
      </c>
    </row>
    <row r="351" spans="1:23" x14ac:dyDescent="0.35">
      <c r="A351">
        <v>1156132500</v>
      </c>
      <c r="B351" t="s">
        <v>22</v>
      </c>
      <c r="C351">
        <v>2006</v>
      </c>
      <c r="D351">
        <v>8</v>
      </c>
      <c r="E351">
        <v>20</v>
      </c>
      <c r="F351">
        <v>17</v>
      </c>
      <c r="G351">
        <v>55</v>
      </c>
      <c r="H351" s="1">
        <f t="shared" si="5"/>
        <v>38949.746527777781</v>
      </c>
      <c r="I351">
        <v>110.451424</v>
      </c>
      <c r="J351">
        <v>-7.5432860000000002</v>
      </c>
      <c r="K351">
        <v>1.2430000000000001</v>
      </c>
      <c r="L351">
        <v>1.2849999999999999</v>
      </c>
      <c r="M351">
        <v>176.87</v>
      </c>
      <c r="N351">
        <v>7.6440000000000001</v>
      </c>
      <c r="O351">
        <v>7.2629999999999999</v>
      </c>
      <c r="P351">
        <v>23.39</v>
      </c>
      <c r="Q351">
        <v>97.69</v>
      </c>
      <c r="R351">
        <v>160.43</v>
      </c>
      <c r="S351">
        <v>73.739999999999995</v>
      </c>
      <c r="T351">
        <v>1498</v>
      </c>
      <c r="U351">
        <v>418</v>
      </c>
      <c r="V351">
        <v>-0.69899999999999995</v>
      </c>
      <c r="W351">
        <v>170.29900000000001</v>
      </c>
    </row>
    <row r="352" spans="1:23" x14ac:dyDescent="0.35">
      <c r="A352">
        <v>1156510500</v>
      </c>
      <c r="B352" t="s">
        <v>23</v>
      </c>
      <c r="C352">
        <v>2006</v>
      </c>
      <c r="D352">
        <v>8</v>
      </c>
      <c r="E352">
        <v>25</v>
      </c>
      <c r="F352">
        <v>2</v>
      </c>
      <c r="G352">
        <v>55</v>
      </c>
      <c r="H352" s="1">
        <f t="shared" si="5"/>
        <v>38954.121527777781</v>
      </c>
      <c r="I352">
        <v>110.448418</v>
      </c>
      <c r="J352">
        <v>-7.5467069999999996</v>
      </c>
      <c r="K352">
        <v>3.91</v>
      </c>
      <c r="L352">
        <v>-10</v>
      </c>
      <c r="M352">
        <v>12.63</v>
      </c>
      <c r="N352">
        <v>10.108000000000001</v>
      </c>
      <c r="O352">
        <v>9.4030000000000005</v>
      </c>
      <c r="P352">
        <v>10.18</v>
      </c>
      <c r="Q352">
        <v>99.18</v>
      </c>
      <c r="R352">
        <v>31.17</v>
      </c>
      <c r="S352">
        <v>55.29</v>
      </c>
      <c r="T352">
        <v>1703</v>
      </c>
      <c r="U352">
        <v>564</v>
      </c>
      <c r="V352">
        <v>-0.47199999999999998</v>
      </c>
      <c r="W352">
        <v>39.933999999999997</v>
      </c>
    </row>
    <row r="353" spans="1:23" x14ac:dyDescent="0.35">
      <c r="A353">
        <v>1156554900</v>
      </c>
      <c r="B353" t="s">
        <v>23</v>
      </c>
      <c r="C353">
        <v>2006</v>
      </c>
      <c r="D353">
        <v>8</v>
      </c>
      <c r="E353">
        <v>25</v>
      </c>
      <c r="F353">
        <v>15</v>
      </c>
      <c r="G353">
        <v>15</v>
      </c>
      <c r="H353" s="1">
        <f t="shared" si="5"/>
        <v>38954.635416666664</v>
      </c>
      <c r="I353">
        <v>110.442215</v>
      </c>
      <c r="J353">
        <v>-7.5414289999999999</v>
      </c>
      <c r="K353">
        <v>0.93700000000000006</v>
      </c>
      <c r="L353">
        <v>0.99399999999999999</v>
      </c>
      <c r="M353">
        <v>168.30799999999999</v>
      </c>
      <c r="N353">
        <v>7.3769999999999998</v>
      </c>
      <c r="O353">
        <v>7.024</v>
      </c>
      <c r="P353">
        <v>11.08</v>
      </c>
      <c r="Q353">
        <v>-96.31</v>
      </c>
      <c r="R353">
        <v>159.11000000000001</v>
      </c>
      <c r="S353">
        <v>-79.959999999999994</v>
      </c>
      <c r="T353">
        <v>671</v>
      </c>
      <c r="U353">
        <v>554</v>
      </c>
      <c r="V353">
        <v>-0.752</v>
      </c>
      <c r="W353">
        <v>168.92099999999999</v>
      </c>
    </row>
    <row r="354" spans="1:23" x14ac:dyDescent="0.35">
      <c r="A354">
        <v>1156726800</v>
      </c>
      <c r="B354" t="s">
        <v>23</v>
      </c>
      <c r="C354">
        <v>2006</v>
      </c>
      <c r="D354">
        <v>8</v>
      </c>
      <c r="E354">
        <v>27</v>
      </c>
      <c r="F354">
        <v>15</v>
      </c>
      <c r="G354">
        <v>0</v>
      </c>
      <c r="H354" s="1">
        <f t="shared" si="5"/>
        <v>38956.625</v>
      </c>
      <c r="I354">
        <v>110.439583</v>
      </c>
      <c r="J354">
        <v>-7.5483200000000004</v>
      </c>
      <c r="K354">
        <v>0.97499999999999998</v>
      </c>
      <c r="L354">
        <v>1.1020000000000001</v>
      </c>
      <c r="M354">
        <v>168.30799999999999</v>
      </c>
      <c r="N354">
        <v>7.1589999999999998</v>
      </c>
      <c r="O354">
        <v>6.8620000000000001</v>
      </c>
      <c r="P354">
        <v>18.350000000000001</v>
      </c>
      <c r="Q354">
        <v>80.73</v>
      </c>
      <c r="R354">
        <v>156.30000000000001</v>
      </c>
      <c r="S354">
        <v>-82.55</v>
      </c>
      <c r="T354">
        <v>1791</v>
      </c>
      <c r="U354">
        <v>881</v>
      </c>
      <c r="V354">
        <v>-0.72299999999999998</v>
      </c>
      <c r="W354">
        <v>137.357</v>
      </c>
    </row>
    <row r="355" spans="1:23" x14ac:dyDescent="0.35">
      <c r="A355">
        <v>1156726800</v>
      </c>
      <c r="B355" t="s">
        <v>23</v>
      </c>
      <c r="C355">
        <v>2006</v>
      </c>
      <c r="D355">
        <v>8</v>
      </c>
      <c r="E355">
        <v>27</v>
      </c>
      <c r="F355">
        <v>15</v>
      </c>
      <c r="G355">
        <v>0</v>
      </c>
      <c r="H355" s="1">
        <f t="shared" si="5"/>
        <v>38956.625</v>
      </c>
      <c r="I355">
        <v>110.450142</v>
      </c>
      <c r="J355">
        <v>-7.5468270000000004</v>
      </c>
      <c r="K355">
        <v>1.6830000000000001</v>
      </c>
      <c r="L355">
        <v>1.6870000000000001</v>
      </c>
      <c r="M355">
        <v>168.30799999999999</v>
      </c>
      <c r="N355">
        <v>7.52</v>
      </c>
      <c r="O355">
        <v>7.2619999999999996</v>
      </c>
      <c r="P355">
        <v>18.350000000000001</v>
      </c>
      <c r="Q355">
        <v>80.73</v>
      </c>
      <c r="R355">
        <v>156.36000000000001</v>
      </c>
      <c r="S355">
        <v>-82.55</v>
      </c>
      <c r="T355">
        <v>1791</v>
      </c>
      <c r="U355">
        <v>880</v>
      </c>
      <c r="V355">
        <v>-0.623</v>
      </c>
      <c r="W355">
        <v>137.36699999999999</v>
      </c>
    </row>
    <row r="356" spans="1:23" x14ac:dyDescent="0.35">
      <c r="A356">
        <v>1156737600</v>
      </c>
      <c r="B356" t="s">
        <v>22</v>
      </c>
      <c r="C356">
        <v>2006</v>
      </c>
      <c r="D356">
        <v>8</v>
      </c>
      <c r="E356">
        <v>27</v>
      </c>
      <c r="F356">
        <v>18</v>
      </c>
      <c r="G356">
        <v>0</v>
      </c>
      <c r="H356" s="1">
        <f t="shared" si="5"/>
        <v>38956.75</v>
      </c>
      <c r="I356">
        <v>110.449181</v>
      </c>
      <c r="J356">
        <v>-7.5409949999999997</v>
      </c>
      <c r="K356">
        <v>1.631</v>
      </c>
      <c r="L356">
        <v>1.59</v>
      </c>
      <c r="M356">
        <v>176.869</v>
      </c>
      <c r="N356">
        <v>7.76</v>
      </c>
      <c r="O356">
        <v>7.4569999999999999</v>
      </c>
      <c r="P356">
        <v>9.4600000000000009</v>
      </c>
      <c r="Q356">
        <v>97.86</v>
      </c>
      <c r="R356">
        <v>158.82</v>
      </c>
      <c r="S356">
        <v>81.680000000000007</v>
      </c>
      <c r="T356">
        <v>1975</v>
      </c>
      <c r="U356">
        <v>571</v>
      </c>
      <c r="V356">
        <v>-0.64900000000000002</v>
      </c>
      <c r="W356">
        <v>168.79599999999999</v>
      </c>
    </row>
    <row r="357" spans="1:23" x14ac:dyDescent="0.35">
      <c r="A357">
        <v>1157082000</v>
      </c>
      <c r="B357" t="s">
        <v>22</v>
      </c>
      <c r="C357">
        <v>2006</v>
      </c>
      <c r="D357">
        <v>8</v>
      </c>
      <c r="E357">
        <v>31</v>
      </c>
      <c r="F357">
        <v>17</v>
      </c>
      <c r="G357">
        <v>40</v>
      </c>
      <c r="H357" s="1">
        <f t="shared" si="5"/>
        <v>38960.736111111109</v>
      </c>
      <c r="I357">
        <v>110.457832</v>
      </c>
      <c r="J357">
        <v>-7.5460019999999997</v>
      </c>
      <c r="K357">
        <v>0.79900000000000004</v>
      </c>
      <c r="L357">
        <v>0.83699999999999997</v>
      </c>
      <c r="M357">
        <v>176.869</v>
      </c>
      <c r="N357">
        <v>7.3049999999999997</v>
      </c>
      <c r="O357">
        <v>6.976</v>
      </c>
      <c r="P357">
        <v>52.6</v>
      </c>
      <c r="Q357">
        <v>99.64</v>
      </c>
      <c r="R357">
        <v>164.61</v>
      </c>
      <c r="S357">
        <v>85.35</v>
      </c>
      <c r="T357">
        <v>181</v>
      </c>
      <c r="U357">
        <v>114</v>
      </c>
      <c r="V357">
        <v>-0.78600000000000003</v>
      </c>
      <c r="W357">
        <v>142.06299999999999</v>
      </c>
    </row>
    <row r="358" spans="1:23" x14ac:dyDescent="0.35">
      <c r="A358">
        <v>1157082000</v>
      </c>
      <c r="B358" t="s">
        <v>22</v>
      </c>
      <c r="C358">
        <v>2006</v>
      </c>
      <c r="D358">
        <v>8</v>
      </c>
      <c r="E358">
        <v>31</v>
      </c>
      <c r="F358">
        <v>17</v>
      </c>
      <c r="G358">
        <v>40</v>
      </c>
      <c r="H358" s="1">
        <f t="shared" si="5"/>
        <v>38960.736111111109</v>
      </c>
      <c r="I358">
        <v>110.44805100000001</v>
      </c>
      <c r="J358">
        <v>-7.5377539999999996</v>
      </c>
      <c r="K358">
        <v>0.93700000000000006</v>
      </c>
      <c r="L358">
        <v>0.90300000000000002</v>
      </c>
      <c r="M358">
        <v>176.869</v>
      </c>
      <c r="N358">
        <v>7.4089999999999998</v>
      </c>
      <c r="O358">
        <v>7.0709999999999997</v>
      </c>
      <c r="P358">
        <v>52.6</v>
      </c>
      <c r="Q358">
        <v>98.95</v>
      </c>
      <c r="R358">
        <v>164.67</v>
      </c>
      <c r="S358">
        <v>85.31</v>
      </c>
      <c r="T358">
        <v>177</v>
      </c>
      <c r="U358">
        <v>113</v>
      </c>
      <c r="V358">
        <v>-0.77400000000000002</v>
      </c>
      <c r="W358">
        <v>142.108</v>
      </c>
    </row>
    <row r="359" spans="1:23" x14ac:dyDescent="0.35">
      <c r="A359">
        <v>1157332200</v>
      </c>
      <c r="B359" t="s">
        <v>23</v>
      </c>
      <c r="C359">
        <v>2006</v>
      </c>
      <c r="D359">
        <v>9</v>
      </c>
      <c r="E359">
        <v>3</v>
      </c>
      <c r="F359">
        <v>15</v>
      </c>
      <c r="G359">
        <v>10</v>
      </c>
      <c r="H359" s="1">
        <f t="shared" si="5"/>
        <v>38963.631944444445</v>
      </c>
      <c r="I359">
        <v>110.447678</v>
      </c>
      <c r="J359">
        <v>-7.5445989999999998</v>
      </c>
      <c r="K359">
        <v>1.1000000000000001</v>
      </c>
      <c r="L359">
        <v>1.0069999999999999</v>
      </c>
      <c r="M359">
        <v>168.30799999999999</v>
      </c>
      <c r="N359">
        <v>7.718</v>
      </c>
      <c r="O359">
        <v>7.3920000000000003</v>
      </c>
      <c r="P359">
        <v>3.94</v>
      </c>
      <c r="Q359">
        <v>85.08</v>
      </c>
      <c r="R359">
        <v>158.41999999999999</v>
      </c>
      <c r="S359">
        <v>-88.81</v>
      </c>
      <c r="T359">
        <v>198</v>
      </c>
      <c r="U359">
        <v>721</v>
      </c>
      <c r="V359">
        <v>-0.76</v>
      </c>
      <c r="W359">
        <v>154.375</v>
      </c>
    </row>
    <row r="360" spans="1:23" x14ac:dyDescent="0.35">
      <c r="A360">
        <v>1157514900</v>
      </c>
      <c r="B360" t="s">
        <v>22</v>
      </c>
      <c r="C360">
        <v>2006</v>
      </c>
      <c r="D360">
        <v>9</v>
      </c>
      <c r="E360">
        <v>5</v>
      </c>
      <c r="F360">
        <v>17</v>
      </c>
      <c r="G360">
        <v>55</v>
      </c>
      <c r="H360" s="1">
        <f t="shared" si="5"/>
        <v>38965.746527777781</v>
      </c>
      <c r="I360">
        <v>110.44738</v>
      </c>
      <c r="J360">
        <v>-7.5448959999999996</v>
      </c>
      <c r="K360">
        <v>1.0660000000000001</v>
      </c>
      <c r="L360">
        <v>1.03</v>
      </c>
      <c r="M360">
        <v>176.869</v>
      </c>
      <c r="N360">
        <v>7.4340000000000002</v>
      </c>
      <c r="O360">
        <v>7.0910000000000002</v>
      </c>
      <c r="P360">
        <v>23.5</v>
      </c>
      <c r="Q360">
        <v>98.38</v>
      </c>
      <c r="R360">
        <v>159.63</v>
      </c>
      <c r="S360">
        <v>91.35</v>
      </c>
      <c r="T360">
        <v>1545</v>
      </c>
      <c r="U360">
        <v>417</v>
      </c>
      <c r="V360">
        <v>-0.746</v>
      </c>
      <c r="W360">
        <v>175.17</v>
      </c>
    </row>
    <row r="361" spans="1:23" x14ac:dyDescent="0.35">
      <c r="A361">
        <v>1164849300</v>
      </c>
      <c r="B361" t="s">
        <v>23</v>
      </c>
      <c r="C361">
        <v>2006</v>
      </c>
      <c r="D361">
        <v>11</v>
      </c>
      <c r="E361">
        <v>29</v>
      </c>
      <c r="F361">
        <v>15</v>
      </c>
      <c r="G361">
        <v>15</v>
      </c>
      <c r="H361" s="1">
        <f t="shared" si="5"/>
        <v>39050.635416666664</v>
      </c>
      <c r="I361">
        <v>110.439865</v>
      </c>
      <c r="J361">
        <v>-7.5435780000000001</v>
      </c>
      <c r="K361">
        <v>0.77600000000000002</v>
      </c>
      <c r="L361">
        <v>0.91700000000000004</v>
      </c>
      <c r="M361">
        <v>168.31299999999999</v>
      </c>
      <c r="N361">
        <v>6.9740000000000002</v>
      </c>
      <c r="O361">
        <v>6.601</v>
      </c>
      <c r="P361">
        <v>10.63</v>
      </c>
      <c r="Q361">
        <v>-98.66</v>
      </c>
      <c r="R361">
        <v>146.22</v>
      </c>
      <c r="S361">
        <v>-149.22999999999999</v>
      </c>
      <c r="T361">
        <v>556</v>
      </c>
      <c r="U361">
        <v>559</v>
      </c>
      <c r="V361">
        <v>-0.75600000000000001</v>
      </c>
      <c r="W361">
        <v>151.726</v>
      </c>
    </row>
    <row r="362" spans="1:23" x14ac:dyDescent="0.35">
      <c r="A362">
        <v>1164849300</v>
      </c>
      <c r="B362" t="s">
        <v>23</v>
      </c>
      <c r="C362">
        <v>2006</v>
      </c>
      <c r="D362">
        <v>11</v>
      </c>
      <c r="E362">
        <v>29</v>
      </c>
      <c r="F362">
        <v>15</v>
      </c>
      <c r="G362">
        <v>15</v>
      </c>
      <c r="H362" s="1">
        <f t="shared" si="5"/>
        <v>39050.635416666664</v>
      </c>
      <c r="I362">
        <v>110.448723</v>
      </c>
      <c r="J362">
        <v>-7.5422880000000001</v>
      </c>
      <c r="K362">
        <v>2.5710000000000002</v>
      </c>
      <c r="L362">
        <v>-10</v>
      </c>
      <c r="M362">
        <v>168.31299999999999</v>
      </c>
      <c r="N362">
        <v>7.4729999999999999</v>
      </c>
      <c r="O362">
        <v>7.0990000000000002</v>
      </c>
      <c r="P362">
        <v>10.69</v>
      </c>
      <c r="Q362">
        <v>-98.66</v>
      </c>
      <c r="R362">
        <v>146.22</v>
      </c>
      <c r="S362">
        <v>-149.24</v>
      </c>
      <c r="T362">
        <v>556</v>
      </c>
      <c r="U362">
        <v>558</v>
      </c>
      <c r="V362">
        <v>-0.46800000000000003</v>
      </c>
      <c r="W362">
        <v>151.75200000000001</v>
      </c>
    </row>
    <row r="363" spans="1:23" x14ac:dyDescent="0.35">
      <c r="A363">
        <v>1164860100</v>
      </c>
      <c r="B363" t="s">
        <v>22</v>
      </c>
      <c r="C363">
        <v>2006</v>
      </c>
      <c r="D363">
        <v>11</v>
      </c>
      <c r="E363">
        <v>29</v>
      </c>
      <c r="F363">
        <v>18</v>
      </c>
      <c r="G363">
        <v>15</v>
      </c>
      <c r="H363" s="1">
        <f t="shared" si="5"/>
        <v>39050.760416666664</v>
      </c>
      <c r="I363">
        <v>110.456352</v>
      </c>
      <c r="J363">
        <v>-7.5419859999999996</v>
      </c>
      <c r="K363">
        <v>0.74299999999999999</v>
      </c>
      <c r="L363">
        <v>0.78900000000000003</v>
      </c>
      <c r="M363">
        <v>176.417</v>
      </c>
      <c r="N363">
        <v>7.2670000000000003</v>
      </c>
      <c r="O363">
        <v>6.9039999999999999</v>
      </c>
      <c r="P363">
        <v>19.7</v>
      </c>
      <c r="Q363">
        <v>-82.28</v>
      </c>
      <c r="R363">
        <v>140.26</v>
      </c>
      <c r="S363">
        <v>138.11000000000001</v>
      </c>
      <c r="T363">
        <v>833</v>
      </c>
      <c r="U363">
        <v>894</v>
      </c>
      <c r="V363">
        <v>-0.79500000000000004</v>
      </c>
      <c r="W363">
        <v>124.35899999999999</v>
      </c>
    </row>
    <row r="364" spans="1:23" x14ac:dyDescent="0.35">
      <c r="A364">
        <v>1168047300</v>
      </c>
      <c r="B364" t="s">
        <v>23</v>
      </c>
      <c r="C364">
        <v>2007</v>
      </c>
      <c r="D364">
        <v>1</v>
      </c>
      <c r="E364">
        <v>5</v>
      </c>
      <c r="F364">
        <v>15</v>
      </c>
      <c r="G364">
        <v>35</v>
      </c>
      <c r="H364" s="1">
        <f t="shared" si="5"/>
        <v>39087.649305555555</v>
      </c>
      <c r="I364">
        <v>110.451622</v>
      </c>
      <c r="J364">
        <v>-7.5440719999999999</v>
      </c>
      <c r="K364">
        <v>0.94599999999999995</v>
      </c>
      <c r="L364">
        <v>0.84699999999999998</v>
      </c>
      <c r="M364">
        <v>168.345</v>
      </c>
      <c r="N364">
        <v>6.5860000000000003</v>
      </c>
      <c r="O364">
        <v>6.218</v>
      </c>
      <c r="P364">
        <v>45.88</v>
      </c>
      <c r="Q364">
        <v>-99.41</v>
      </c>
      <c r="R364">
        <v>145.53</v>
      </c>
      <c r="S364">
        <v>-151.31</v>
      </c>
      <c r="T364">
        <v>88</v>
      </c>
      <c r="U364">
        <v>180</v>
      </c>
      <c r="V364">
        <v>-0.76</v>
      </c>
      <c r="W364">
        <v>145.54900000000001</v>
      </c>
    </row>
    <row r="365" spans="1:23" x14ac:dyDescent="0.35">
      <c r="A365">
        <v>1168047300</v>
      </c>
      <c r="B365" t="s">
        <v>23</v>
      </c>
      <c r="C365">
        <v>2007</v>
      </c>
      <c r="D365">
        <v>1</v>
      </c>
      <c r="E365">
        <v>5</v>
      </c>
      <c r="F365">
        <v>15</v>
      </c>
      <c r="G365">
        <v>35</v>
      </c>
      <c r="H365" s="1">
        <f t="shared" si="5"/>
        <v>39087.649305555555</v>
      </c>
      <c r="I365">
        <v>110.443787</v>
      </c>
      <c r="J365">
        <v>-7.5410170000000001</v>
      </c>
      <c r="K365">
        <v>0.70699999999999996</v>
      </c>
      <c r="L365">
        <v>0.74399999999999999</v>
      </c>
      <c r="M365">
        <v>168.345</v>
      </c>
      <c r="N365">
        <v>6.4489999999999998</v>
      </c>
      <c r="O365">
        <v>6.09</v>
      </c>
      <c r="P365">
        <v>45.88</v>
      </c>
      <c r="Q365">
        <v>-98.55</v>
      </c>
      <c r="R365">
        <v>145.53</v>
      </c>
      <c r="S365">
        <v>-151.30000000000001</v>
      </c>
      <c r="T365">
        <v>91</v>
      </c>
      <c r="U365">
        <v>180</v>
      </c>
      <c r="V365">
        <v>-0.78200000000000003</v>
      </c>
      <c r="W365">
        <v>145.07</v>
      </c>
    </row>
    <row r="366" spans="1:23" x14ac:dyDescent="0.35">
      <c r="A366">
        <v>1288410000</v>
      </c>
      <c r="B366" t="s">
        <v>22</v>
      </c>
      <c r="C366">
        <v>2010</v>
      </c>
      <c r="D366">
        <v>10</v>
      </c>
      <c r="E366">
        <v>29</v>
      </c>
      <c r="F366">
        <v>17</v>
      </c>
      <c r="G366">
        <v>40</v>
      </c>
      <c r="H366" s="1">
        <f t="shared" si="5"/>
        <v>40480.736111111109</v>
      </c>
      <c r="I366">
        <v>110.448685</v>
      </c>
      <c r="J366">
        <v>-7.5487580000000003</v>
      </c>
      <c r="K366">
        <v>0.23400000000000001</v>
      </c>
      <c r="L366">
        <v>0.251</v>
      </c>
      <c r="M366">
        <v>176.881</v>
      </c>
      <c r="N366">
        <v>1.9219999999999999</v>
      </c>
      <c r="O366">
        <v>1.8029999999999999</v>
      </c>
      <c r="P366">
        <v>52.82</v>
      </c>
      <c r="Q366">
        <v>99.18</v>
      </c>
      <c r="R366">
        <v>151.15</v>
      </c>
      <c r="S366">
        <v>137.4</v>
      </c>
      <c r="T366">
        <v>425</v>
      </c>
      <c r="U366">
        <v>112</v>
      </c>
      <c r="V366">
        <v>-0.75600000000000001</v>
      </c>
      <c r="W366">
        <v>146.155</v>
      </c>
    </row>
    <row r="367" spans="1:23" x14ac:dyDescent="0.35">
      <c r="A367">
        <v>1288410000</v>
      </c>
      <c r="B367" t="s">
        <v>22</v>
      </c>
      <c r="C367">
        <v>2010</v>
      </c>
      <c r="D367">
        <v>10</v>
      </c>
      <c r="E367">
        <v>29</v>
      </c>
      <c r="F367">
        <v>17</v>
      </c>
      <c r="G367">
        <v>40</v>
      </c>
      <c r="H367" s="1">
        <f t="shared" si="5"/>
        <v>40480.736111111109</v>
      </c>
      <c r="I367">
        <v>110.468948</v>
      </c>
      <c r="J367">
        <v>-7.5380599999999998</v>
      </c>
      <c r="K367">
        <v>0.16800000000000001</v>
      </c>
      <c r="L367">
        <v>0.19600000000000001</v>
      </c>
      <c r="M367">
        <v>176.881</v>
      </c>
      <c r="N367">
        <v>1.8720000000000001</v>
      </c>
      <c r="O367">
        <v>1.734</v>
      </c>
      <c r="P367">
        <v>52.6</v>
      </c>
      <c r="Q367">
        <v>99.29</v>
      </c>
      <c r="R367">
        <v>151.15</v>
      </c>
      <c r="S367">
        <v>137.36000000000001</v>
      </c>
      <c r="T367">
        <v>424</v>
      </c>
      <c r="U367">
        <v>113</v>
      </c>
      <c r="V367">
        <v>-0.79700000000000004</v>
      </c>
      <c r="W367">
        <v>146.41399999999999</v>
      </c>
    </row>
    <row r="368" spans="1:23" x14ac:dyDescent="0.35">
      <c r="A368">
        <v>1288410000</v>
      </c>
      <c r="B368" t="s">
        <v>22</v>
      </c>
      <c r="C368">
        <v>2010</v>
      </c>
      <c r="D368">
        <v>10</v>
      </c>
      <c r="E368">
        <v>29</v>
      </c>
      <c r="F368">
        <v>17</v>
      </c>
      <c r="G368">
        <v>40</v>
      </c>
      <c r="H368" s="1">
        <f t="shared" si="5"/>
        <v>40480.736111111109</v>
      </c>
      <c r="I368">
        <v>110.45315600000001</v>
      </c>
      <c r="J368">
        <v>-7.5354549999999998</v>
      </c>
      <c r="K368">
        <v>0.91300000000000003</v>
      </c>
      <c r="L368">
        <v>0.89400000000000002</v>
      </c>
      <c r="M368">
        <v>176.881</v>
      </c>
      <c r="N368">
        <v>2.472</v>
      </c>
      <c r="O368">
        <v>2.2349999999999999</v>
      </c>
      <c r="P368">
        <v>52.82</v>
      </c>
      <c r="Q368">
        <v>99.29</v>
      </c>
      <c r="R368">
        <v>151.15</v>
      </c>
      <c r="S368">
        <v>137.38</v>
      </c>
      <c r="T368">
        <v>424</v>
      </c>
      <c r="U368">
        <v>112</v>
      </c>
      <c r="V368">
        <v>-0.42899999999999999</v>
      </c>
      <c r="W368">
        <v>146.21</v>
      </c>
    </row>
    <row r="369" spans="1:26" x14ac:dyDescent="0.35">
      <c r="A369">
        <v>1288410000</v>
      </c>
      <c r="B369" t="s">
        <v>22</v>
      </c>
      <c r="C369">
        <v>2010</v>
      </c>
      <c r="D369">
        <v>10</v>
      </c>
      <c r="E369">
        <v>29</v>
      </c>
      <c r="F369">
        <v>17</v>
      </c>
      <c r="G369">
        <v>40</v>
      </c>
      <c r="H369" s="1">
        <f t="shared" si="5"/>
        <v>40480.736111111109</v>
      </c>
      <c r="I369">
        <v>110.41803</v>
      </c>
      <c r="J369">
        <v>-7.5296940000000001</v>
      </c>
      <c r="K369">
        <v>0.38300000000000001</v>
      </c>
      <c r="L369">
        <v>0.34499999999999997</v>
      </c>
      <c r="M369">
        <v>176.881</v>
      </c>
      <c r="N369">
        <v>2.94</v>
      </c>
      <c r="O369">
        <v>2.738</v>
      </c>
      <c r="P369">
        <v>52.82</v>
      </c>
      <c r="Q369">
        <v>99.29</v>
      </c>
      <c r="R369">
        <v>151.19999999999999</v>
      </c>
      <c r="S369">
        <v>137.41999999999999</v>
      </c>
      <c r="T369">
        <v>424</v>
      </c>
      <c r="U369">
        <v>111</v>
      </c>
      <c r="V369">
        <v>-0.77600000000000002</v>
      </c>
      <c r="W369">
        <v>146.178</v>
      </c>
    </row>
    <row r="370" spans="1:26" x14ac:dyDescent="0.35">
      <c r="H370" s="1">
        <f t="shared" si="5"/>
        <v>25568.583333333332</v>
      </c>
    </row>
    <row r="371" spans="1:26" x14ac:dyDescent="0.35">
      <c r="H371" s="1">
        <f t="shared" si="5"/>
        <v>25568.583333333332</v>
      </c>
    </row>
    <row r="372" spans="1:26" x14ac:dyDescent="0.35">
      <c r="A372">
        <v>1788117300</v>
      </c>
      <c r="B372" t="s">
        <v>22</v>
      </c>
      <c r="C372">
        <v>2026</v>
      </c>
      <c r="D372">
        <v>8</v>
      </c>
      <c r="E372">
        <v>30</v>
      </c>
      <c r="F372">
        <v>19</v>
      </c>
      <c r="G372">
        <v>15</v>
      </c>
      <c r="H372" s="1">
        <f>(A372+2209125600)/86400</f>
        <v>46264.385416666664</v>
      </c>
      <c r="I372" s="8">
        <v>127.633728</v>
      </c>
      <c r="J372" s="8">
        <v>1.499201</v>
      </c>
      <c r="K372" s="8">
        <v>0.81599999999999995</v>
      </c>
      <c r="L372" s="8">
        <v>0.77600000000000002</v>
      </c>
      <c r="M372" s="8">
        <v>173.809</v>
      </c>
      <c r="N372" s="8">
        <v>7.0720000000000001</v>
      </c>
      <c r="O372" s="8">
        <v>6.4059999999999997</v>
      </c>
      <c r="P372" s="8">
        <v>22.8</v>
      </c>
      <c r="Q372" s="8">
        <v>-81.88</v>
      </c>
      <c r="R372" s="8">
        <v>122.21</v>
      </c>
      <c r="S372" s="8">
        <v>78.48</v>
      </c>
      <c r="T372">
        <v>1303</v>
      </c>
      <c r="U372">
        <v>929</v>
      </c>
      <c r="V372" s="8">
        <v>-0.78</v>
      </c>
      <c r="W372" s="8">
        <v>100.761</v>
      </c>
      <c r="X372" s="8">
        <v>5.476</v>
      </c>
      <c r="Y372" s="8">
        <v>292.2</v>
      </c>
      <c r="Z372" s="8">
        <v>1.9</v>
      </c>
    </row>
    <row r="373" spans="1:26" x14ac:dyDescent="0.35">
      <c r="A373">
        <v>1788092099</v>
      </c>
      <c r="B373" t="s">
        <v>23</v>
      </c>
      <c r="C373">
        <v>2026</v>
      </c>
      <c r="D373">
        <v>8</v>
      </c>
      <c r="E373">
        <v>30</v>
      </c>
      <c r="F373">
        <v>12</v>
      </c>
      <c r="G373">
        <v>15</v>
      </c>
      <c r="H373" s="1">
        <f t="shared" si="5"/>
        <v>46264.093738425923</v>
      </c>
      <c r="I373" s="8">
        <v>127.63200399999999</v>
      </c>
      <c r="J373" s="8">
        <v>1.499104</v>
      </c>
      <c r="K373" s="8">
        <v>0.89600000000000002</v>
      </c>
      <c r="L373" s="8">
        <v>0.97899999999999998</v>
      </c>
      <c r="M373" s="8">
        <v>181.31299999999999</v>
      </c>
      <c r="N373" s="8">
        <v>8.3970000000000002</v>
      </c>
      <c r="O373" s="8">
        <v>7.8209999999999997</v>
      </c>
      <c r="P373" s="8">
        <v>22.98</v>
      </c>
      <c r="Q373" s="8">
        <v>-97.69</v>
      </c>
      <c r="R373" s="8">
        <v>131.44</v>
      </c>
      <c r="S373" s="8">
        <v>-76.75</v>
      </c>
      <c r="T373">
        <v>1894</v>
      </c>
      <c r="U373">
        <v>423</v>
      </c>
      <c r="V373" s="8">
        <v>-0.78</v>
      </c>
      <c r="W373" s="8">
        <v>151.381</v>
      </c>
      <c r="X373" s="8">
        <v>8.9760000000000009</v>
      </c>
      <c r="Y373" s="8">
        <v>293.10000000000002</v>
      </c>
      <c r="Z373" s="8">
        <v>3.4</v>
      </c>
    </row>
    <row r="374" spans="1:26" x14ac:dyDescent="0.35">
      <c r="A374">
        <v>1787660400</v>
      </c>
      <c r="B374" t="s">
        <v>23</v>
      </c>
      <c r="C374">
        <v>2026</v>
      </c>
      <c r="D374">
        <v>8</v>
      </c>
      <c r="E374">
        <v>25</v>
      </c>
      <c r="F374">
        <v>12</v>
      </c>
      <c r="G374">
        <v>20</v>
      </c>
      <c r="H374" s="1">
        <f t="shared" si="5"/>
        <v>46259.097222222219</v>
      </c>
      <c r="I374" s="8">
        <v>127.635643</v>
      </c>
      <c r="J374" s="8">
        <v>1.500283</v>
      </c>
      <c r="K374" s="8">
        <v>1.0409999999999999</v>
      </c>
      <c r="L374" s="8">
        <v>0.996</v>
      </c>
      <c r="M374" s="8">
        <v>181.30600000000001</v>
      </c>
      <c r="N374" s="8">
        <v>8.3889999999999993</v>
      </c>
      <c r="O374" s="8">
        <v>7.9790000000000001</v>
      </c>
      <c r="P374" s="8">
        <v>24.81</v>
      </c>
      <c r="Q374" s="8">
        <v>-98.78</v>
      </c>
      <c r="R374" s="8">
        <v>131.09</v>
      </c>
      <c r="S374" s="8">
        <v>-74.25</v>
      </c>
      <c r="T374">
        <v>409</v>
      </c>
      <c r="U374">
        <v>403</v>
      </c>
      <c r="V374" s="8">
        <v>-0.78</v>
      </c>
      <c r="W374" s="8">
        <v>152.41499999999999</v>
      </c>
      <c r="X374" s="8">
        <v>9.2970000000000006</v>
      </c>
      <c r="Y374" s="8">
        <v>293.10000000000002</v>
      </c>
      <c r="Z374" s="8">
        <v>3.4</v>
      </c>
    </row>
    <row r="375" spans="1:26" x14ac:dyDescent="0.35">
      <c r="A375">
        <v>1787400000</v>
      </c>
      <c r="B375" t="s">
        <v>23</v>
      </c>
      <c r="C375">
        <v>2026</v>
      </c>
      <c r="D375">
        <v>8</v>
      </c>
      <c r="E375">
        <v>22</v>
      </c>
      <c r="F375">
        <v>12</v>
      </c>
      <c r="G375">
        <v>0</v>
      </c>
      <c r="H375" s="1">
        <f t="shared" si="5"/>
        <v>46256.083333333336</v>
      </c>
      <c r="I375" s="8">
        <v>127.632774</v>
      </c>
      <c r="J375" s="8">
        <v>1.492021</v>
      </c>
      <c r="K375" s="8">
        <v>1.57</v>
      </c>
      <c r="L375" s="8">
        <v>1.56</v>
      </c>
      <c r="M375" s="8">
        <v>181.30099999999999</v>
      </c>
      <c r="N375" s="8">
        <v>8.5760000000000005</v>
      </c>
      <c r="O375" s="8">
        <v>8.0269999999999992</v>
      </c>
      <c r="P375" s="8">
        <v>21.26</v>
      </c>
      <c r="Q375" s="8">
        <v>83.02</v>
      </c>
      <c r="R375" s="8">
        <v>126.17</v>
      </c>
      <c r="S375" s="8">
        <v>-74.23</v>
      </c>
      <c r="T375">
        <v>929</v>
      </c>
      <c r="U375">
        <v>912</v>
      </c>
      <c r="V375" s="8">
        <v>-0.67</v>
      </c>
      <c r="W375" s="8">
        <v>106.254</v>
      </c>
      <c r="X375" s="8">
        <v>19.956</v>
      </c>
      <c r="Y375" s="8">
        <v>293.10000000000002</v>
      </c>
      <c r="Z375" s="8">
        <v>3.4</v>
      </c>
    </row>
    <row r="376" spans="1:26" x14ac:dyDescent="0.35">
      <c r="A376">
        <v>1787400000</v>
      </c>
      <c r="B376" t="s">
        <v>23</v>
      </c>
      <c r="C376">
        <v>2026</v>
      </c>
      <c r="D376">
        <v>8</v>
      </c>
      <c r="E376">
        <v>22</v>
      </c>
      <c r="F376">
        <v>12</v>
      </c>
      <c r="G376">
        <v>0</v>
      </c>
      <c r="H376" s="1">
        <f t="shared" si="5"/>
        <v>46256.083333333336</v>
      </c>
      <c r="I376" s="8">
        <v>127.625015</v>
      </c>
      <c r="J376" s="8">
        <v>1.4975940000000001</v>
      </c>
      <c r="K376" s="8">
        <v>0.89600000000000002</v>
      </c>
      <c r="L376" s="8">
        <v>1.08</v>
      </c>
      <c r="M376" s="8">
        <v>181.30099999999999</v>
      </c>
      <c r="N376" s="8">
        <v>8.4909999999999997</v>
      </c>
      <c r="O376" s="8">
        <v>7.9130000000000003</v>
      </c>
      <c r="P376" s="8">
        <v>21.26</v>
      </c>
      <c r="Q376" s="8">
        <v>80.84</v>
      </c>
      <c r="R376" s="8">
        <v>126.17</v>
      </c>
      <c r="S376" s="8">
        <v>-74.23</v>
      </c>
      <c r="T376">
        <v>930</v>
      </c>
      <c r="U376">
        <v>912</v>
      </c>
      <c r="V376" s="8">
        <v>-0.76</v>
      </c>
      <c r="W376" s="8">
        <v>106.514</v>
      </c>
      <c r="X376" s="8">
        <v>10.884</v>
      </c>
      <c r="Y376" s="8">
        <v>293.10000000000002</v>
      </c>
      <c r="Z376" s="8">
        <v>3.4</v>
      </c>
    </row>
    <row r="377" spans="1:26" x14ac:dyDescent="0.35">
      <c r="A377">
        <v>1787165399</v>
      </c>
      <c r="B377" t="s">
        <v>22</v>
      </c>
      <c r="C377">
        <v>2026</v>
      </c>
      <c r="D377">
        <v>8</v>
      </c>
      <c r="E377">
        <v>19</v>
      </c>
      <c r="F377">
        <v>18</v>
      </c>
      <c r="G377">
        <v>50</v>
      </c>
      <c r="H377" s="1">
        <f t="shared" si="5"/>
        <v>46253.368043981478</v>
      </c>
      <c r="I377" s="8">
        <v>127.62824999999999</v>
      </c>
      <c r="J377" s="8">
        <v>1.4963679999999999</v>
      </c>
      <c r="K377" s="8">
        <v>1.5269999999999999</v>
      </c>
      <c r="L377" s="8">
        <v>1.45</v>
      </c>
      <c r="M377" s="8">
        <v>173.80199999999999</v>
      </c>
      <c r="N377" s="8">
        <v>8.2539999999999996</v>
      </c>
      <c r="O377" s="8">
        <v>7.726</v>
      </c>
      <c r="P377" s="8">
        <v>32.26</v>
      </c>
      <c r="Q377" s="8">
        <v>98.78</v>
      </c>
      <c r="R377" s="8">
        <v>128.34</v>
      </c>
      <c r="S377" s="8">
        <v>72.45</v>
      </c>
      <c r="T377">
        <v>1322</v>
      </c>
      <c r="U377">
        <v>322</v>
      </c>
      <c r="V377" s="8">
        <v>-0.68</v>
      </c>
      <c r="W377" s="8">
        <v>154.35</v>
      </c>
      <c r="X377" s="8">
        <v>18.215</v>
      </c>
      <c r="Y377" s="8">
        <v>292.2</v>
      </c>
      <c r="Z377" s="8">
        <v>1.9</v>
      </c>
    </row>
    <row r="378" spans="1:26" x14ac:dyDescent="0.35">
      <c r="A378">
        <v>1786364400</v>
      </c>
      <c r="B378" t="s">
        <v>23</v>
      </c>
      <c r="C378">
        <v>2026</v>
      </c>
      <c r="D378">
        <v>8</v>
      </c>
      <c r="E378">
        <v>10</v>
      </c>
      <c r="F378">
        <v>12</v>
      </c>
      <c r="G378">
        <v>20</v>
      </c>
      <c r="H378" s="1">
        <f t="shared" si="5"/>
        <v>46244.097222222219</v>
      </c>
      <c r="I378" s="8">
        <v>127.63108099999999</v>
      </c>
      <c r="J378" s="8">
        <v>1.4893339999999999</v>
      </c>
      <c r="K378" s="8">
        <v>1.1000000000000001</v>
      </c>
      <c r="L378" s="8">
        <v>1.1140000000000001</v>
      </c>
      <c r="M378" s="8">
        <v>181.28399999999999</v>
      </c>
      <c r="N378" s="8">
        <v>8.4339999999999993</v>
      </c>
      <c r="O378" s="8">
        <v>7.8570000000000002</v>
      </c>
      <c r="P378" s="8">
        <v>29.79</v>
      </c>
      <c r="Q378" s="8">
        <v>-98.26</v>
      </c>
      <c r="R378" s="8">
        <v>130.12</v>
      </c>
      <c r="S378" s="8">
        <v>-68.37</v>
      </c>
      <c r="T378">
        <v>2027</v>
      </c>
      <c r="U378">
        <v>349</v>
      </c>
      <c r="V378" s="8">
        <v>-0.75</v>
      </c>
      <c r="W378" s="8">
        <v>152.13999999999999</v>
      </c>
      <c r="X378" s="8">
        <v>11.526999999999999</v>
      </c>
      <c r="Y378" s="8">
        <v>293.10000000000002</v>
      </c>
      <c r="Z378" s="8">
        <v>3.4</v>
      </c>
    </row>
    <row r="379" spans="1:26" x14ac:dyDescent="0.35">
      <c r="A379">
        <v>1786364400</v>
      </c>
      <c r="B379" t="s">
        <v>23</v>
      </c>
      <c r="C379">
        <v>2026</v>
      </c>
      <c r="D379">
        <v>8</v>
      </c>
      <c r="E379">
        <v>10</v>
      </c>
      <c r="F379">
        <v>12</v>
      </c>
      <c r="G379">
        <v>20</v>
      </c>
      <c r="H379" s="1">
        <f t="shared" si="5"/>
        <v>46244.097222222219</v>
      </c>
      <c r="I379" s="8">
        <v>127.630211</v>
      </c>
      <c r="J379" s="8">
        <v>1.4993559999999999</v>
      </c>
      <c r="K379" s="8">
        <v>1.976</v>
      </c>
      <c r="L379" s="8">
        <v>1.956</v>
      </c>
      <c r="M379" s="8">
        <v>181.28399999999999</v>
      </c>
      <c r="N379" s="8">
        <v>8.6389999999999993</v>
      </c>
      <c r="O379" s="8">
        <v>8.0370000000000008</v>
      </c>
      <c r="P379" s="8">
        <v>29.79</v>
      </c>
      <c r="Q379" s="8">
        <v>-98.43</v>
      </c>
      <c r="R379" s="8">
        <v>130.12</v>
      </c>
      <c r="S379" s="8">
        <v>-68.37</v>
      </c>
      <c r="T379">
        <v>2028</v>
      </c>
      <c r="U379">
        <v>349</v>
      </c>
      <c r="V379" s="8">
        <v>-0.61</v>
      </c>
      <c r="W379" s="8">
        <v>152.06299999999999</v>
      </c>
      <c r="X379" s="8">
        <v>27.440999999999999</v>
      </c>
      <c r="Y379" s="8">
        <v>293.10000000000002</v>
      </c>
      <c r="Z379" s="8">
        <v>3.4</v>
      </c>
    </row>
    <row r="380" spans="1:26" x14ac:dyDescent="0.35">
      <c r="A380">
        <v>1786302300</v>
      </c>
      <c r="B380" t="s">
        <v>22</v>
      </c>
      <c r="C380">
        <v>2026</v>
      </c>
      <c r="D380">
        <v>8</v>
      </c>
      <c r="E380">
        <v>9</v>
      </c>
      <c r="F380">
        <v>19</v>
      </c>
      <c r="G380">
        <v>5</v>
      </c>
      <c r="H380" s="1">
        <f t="shared" si="5"/>
        <v>46243.378472222219</v>
      </c>
      <c r="I380" s="8">
        <v>127.635139</v>
      </c>
      <c r="J380" s="8">
        <v>1.497069</v>
      </c>
      <c r="K380" s="8">
        <v>0.89600000000000002</v>
      </c>
      <c r="L380" s="8">
        <v>0.879</v>
      </c>
      <c r="M380" s="8">
        <v>173.79499999999999</v>
      </c>
      <c r="N380" s="8">
        <v>6.9749999999999996</v>
      </c>
      <c r="O380" s="8">
        <v>6.1340000000000003</v>
      </c>
      <c r="P380" s="8">
        <v>0.28999999999999998</v>
      </c>
      <c r="Q380" s="8">
        <v>-74.48</v>
      </c>
      <c r="R380" s="8">
        <v>125.13</v>
      </c>
      <c r="S380" s="8">
        <v>69.569999999999993</v>
      </c>
      <c r="T380">
        <v>385</v>
      </c>
      <c r="U380">
        <v>680</v>
      </c>
      <c r="V380" s="8">
        <v>-0.75</v>
      </c>
      <c r="W380" s="8">
        <v>124.596</v>
      </c>
      <c r="X380" s="8">
        <v>7.423</v>
      </c>
      <c r="Y380" s="8">
        <v>292.2</v>
      </c>
      <c r="Z380" s="8">
        <v>1.9</v>
      </c>
    </row>
    <row r="381" spans="1:26" x14ac:dyDescent="0.35">
      <c r="A381">
        <v>1786104299</v>
      </c>
      <c r="B381" t="s">
        <v>23</v>
      </c>
      <c r="C381">
        <v>2026</v>
      </c>
      <c r="D381">
        <v>8</v>
      </c>
      <c r="E381">
        <v>7</v>
      </c>
      <c r="F381">
        <v>12</v>
      </c>
      <c r="G381">
        <v>5</v>
      </c>
      <c r="H381" s="1">
        <f t="shared" si="5"/>
        <v>46241.086793981478</v>
      </c>
      <c r="I381" s="8">
        <v>127.625519</v>
      </c>
      <c r="J381" s="8">
        <v>1.4941960000000001</v>
      </c>
      <c r="K381" s="8">
        <v>0.83</v>
      </c>
      <c r="L381" s="8">
        <v>0.89600000000000002</v>
      </c>
      <c r="M381" s="8">
        <v>181.28100000000001</v>
      </c>
      <c r="N381" s="8">
        <v>8.4670000000000005</v>
      </c>
      <c r="O381" s="8">
        <v>7.9</v>
      </c>
      <c r="P381" s="8">
        <v>15.7</v>
      </c>
      <c r="Q381" s="8">
        <v>83.42</v>
      </c>
      <c r="R381" s="8">
        <v>125.42</v>
      </c>
      <c r="S381" s="8">
        <v>-68.510000000000005</v>
      </c>
      <c r="T381">
        <v>509</v>
      </c>
      <c r="U381">
        <v>851</v>
      </c>
      <c r="V381" s="8">
        <v>-0.8</v>
      </c>
      <c r="W381" s="8">
        <v>111.527</v>
      </c>
      <c r="X381" s="8">
        <v>7.407</v>
      </c>
      <c r="Y381" s="8">
        <v>293.10000000000002</v>
      </c>
      <c r="Z381" s="8">
        <v>3.4</v>
      </c>
    </row>
    <row r="382" spans="1:26" x14ac:dyDescent="0.35">
      <c r="A382">
        <v>1785932699</v>
      </c>
      <c r="B382" t="s">
        <v>23</v>
      </c>
      <c r="C382">
        <v>2026</v>
      </c>
      <c r="D382">
        <v>8</v>
      </c>
      <c r="E382">
        <v>5</v>
      </c>
      <c r="F382">
        <v>12</v>
      </c>
      <c r="G382">
        <v>25</v>
      </c>
      <c r="H382" s="1">
        <f t="shared" si="5"/>
        <v>46239.100682870368</v>
      </c>
      <c r="I382" s="8">
        <v>127.631805</v>
      </c>
      <c r="J382" s="8">
        <v>1.4973860000000001</v>
      </c>
      <c r="K382" s="8">
        <v>1.1479999999999999</v>
      </c>
      <c r="L382" s="8">
        <v>1.224</v>
      </c>
      <c r="M382" s="8">
        <v>181.27799999999999</v>
      </c>
      <c r="N382" s="8">
        <v>8.6120000000000001</v>
      </c>
      <c r="O382" s="8">
        <v>8.0519999999999996</v>
      </c>
      <c r="P382" s="8">
        <v>31.4</v>
      </c>
      <c r="Q382" s="8">
        <v>-97.35</v>
      </c>
      <c r="R382" s="8">
        <v>129.88999999999999</v>
      </c>
      <c r="S382" s="8">
        <v>-66.239999999999995</v>
      </c>
      <c r="T382">
        <v>532</v>
      </c>
      <c r="U382">
        <v>332</v>
      </c>
      <c r="V382" s="8">
        <v>-0.74</v>
      </c>
      <c r="W382" s="8">
        <v>152.96600000000001</v>
      </c>
      <c r="X382" s="8">
        <v>13.606</v>
      </c>
      <c r="Y382" s="8">
        <v>293.10000000000002</v>
      </c>
      <c r="Z382" s="8">
        <v>3.4</v>
      </c>
    </row>
    <row r="383" spans="1:26" x14ac:dyDescent="0.35">
      <c r="A383">
        <v>1785500699</v>
      </c>
      <c r="B383" t="s">
        <v>23</v>
      </c>
      <c r="C383">
        <v>2026</v>
      </c>
      <c r="D383">
        <v>7</v>
      </c>
      <c r="E383">
        <v>31</v>
      </c>
      <c r="F383">
        <v>12</v>
      </c>
      <c r="G383">
        <v>25</v>
      </c>
      <c r="H383" s="1">
        <f t="shared" si="5"/>
        <v>46234.100682870368</v>
      </c>
      <c r="I383" s="8">
        <v>127.627296</v>
      </c>
      <c r="J383" s="8">
        <v>1.4928509999999999</v>
      </c>
      <c r="K383" s="8">
        <v>0.99299999999999999</v>
      </c>
      <c r="L383" s="8">
        <v>1.056</v>
      </c>
      <c r="M383" s="8">
        <v>181.27</v>
      </c>
      <c r="N383" s="8">
        <v>8.2919999999999998</v>
      </c>
      <c r="O383" s="8">
        <v>7.7709999999999999</v>
      </c>
      <c r="P383" s="8">
        <v>32.770000000000003</v>
      </c>
      <c r="Q383" s="8">
        <v>-98.55</v>
      </c>
      <c r="R383" s="8">
        <v>129.72</v>
      </c>
      <c r="S383" s="8">
        <v>-64.680000000000007</v>
      </c>
      <c r="T383">
        <v>1059</v>
      </c>
      <c r="U383">
        <v>317</v>
      </c>
      <c r="V383" s="8">
        <v>-0.76</v>
      </c>
      <c r="W383" s="8">
        <v>151.89400000000001</v>
      </c>
      <c r="X383" s="8">
        <v>10.599</v>
      </c>
      <c r="Y383" s="8">
        <v>292.60000000000002</v>
      </c>
      <c r="Z383" s="8">
        <v>1.4</v>
      </c>
    </row>
    <row r="384" spans="1:26" x14ac:dyDescent="0.35">
      <c r="A384">
        <v>1782820500</v>
      </c>
      <c r="B384" t="s">
        <v>23</v>
      </c>
      <c r="C384">
        <v>2026</v>
      </c>
      <c r="D384">
        <v>6</v>
      </c>
      <c r="E384">
        <v>30</v>
      </c>
      <c r="F384">
        <v>11</v>
      </c>
      <c r="G384">
        <v>55</v>
      </c>
      <c r="H384" s="1">
        <f t="shared" si="5"/>
        <v>46203.079861111109</v>
      </c>
      <c r="I384" s="8">
        <v>127.624756</v>
      </c>
      <c r="J384" s="8">
        <v>1.4907319999999999</v>
      </c>
      <c r="K384" s="8">
        <v>1.0469999999999999</v>
      </c>
      <c r="L384" s="8">
        <v>1.1259999999999999</v>
      </c>
      <c r="M384" s="8">
        <v>181.238</v>
      </c>
      <c r="N384" s="8">
        <v>8.1389999999999993</v>
      </c>
      <c r="O384" s="8">
        <v>7.6219999999999999</v>
      </c>
      <c r="P384" s="8">
        <v>42.97</v>
      </c>
      <c r="Q384" s="8">
        <v>82.05</v>
      </c>
      <c r="R384" s="8">
        <v>121.75</v>
      </c>
      <c r="S384" s="8">
        <v>-61.35</v>
      </c>
      <c r="T384">
        <v>456</v>
      </c>
      <c r="U384">
        <v>1144</v>
      </c>
      <c r="V384" s="8">
        <v>-0.74</v>
      </c>
      <c r="W384" s="8">
        <v>85.536000000000001</v>
      </c>
      <c r="X384" s="8">
        <v>11.574999999999999</v>
      </c>
      <c r="Y384" s="8">
        <v>293.5</v>
      </c>
      <c r="Z384" s="8">
        <v>1.8</v>
      </c>
    </row>
    <row r="385" spans="1:26" x14ac:dyDescent="0.35">
      <c r="A385">
        <v>1782648899</v>
      </c>
      <c r="B385" t="s">
        <v>23</v>
      </c>
      <c r="C385">
        <v>2026</v>
      </c>
      <c r="D385">
        <v>6</v>
      </c>
      <c r="E385">
        <v>28</v>
      </c>
      <c r="F385">
        <v>12</v>
      </c>
      <c r="G385">
        <v>15</v>
      </c>
      <c r="H385" s="1">
        <f t="shared" si="5"/>
        <v>46201.093738425923</v>
      </c>
      <c r="I385" s="8">
        <v>127.63009599999999</v>
      </c>
      <c r="J385" s="8">
        <v>1.4904850000000001</v>
      </c>
      <c r="K385" s="8">
        <v>1.198</v>
      </c>
      <c r="L385" s="8">
        <v>1.3520000000000001</v>
      </c>
      <c r="M385" s="8">
        <v>181.23500000000001</v>
      </c>
      <c r="N385" s="8">
        <v>8.5210000000000008</v>
      </c>
      <c r="O385" s="8">
        <v>7.9080000000000004</v>
      </c>
      <c r="P385" s="8">
        <v>1.26</v>
      </c>
      <c r="Q385" s="8">
        <v>86.8</v>
      </c>
      <c r="R385" s="8">
        <v>126.17</v>
      </c>
      <c r="S385" s="8">
        <v>-59.38</v>
      </c>
      <c r="T385">
        <v>466</v>
      </c>
      <c r="U385">
        <v>691</v>
      </c>
      <c r="V385" s="8">
        <v>-0.71</v>
      </c>
      <c r="W385" s="8">
        <v>125.247</v>
      </c>
      <c r="X385" s="8">
        <v>15.871</v>
      </c>
      <c r="Y385" s="8">
        <v>293.39999999999998</v>
      </c>
      <c r="Z385" s="8">
        <v>2</v>
      </c>
    </row>
    <row r="386" spans="1:26" x14ac:dyDescent="0.35">
      <c r="A386">
        <v>1782648899</v>
      </c>
      <c r="B386" t="s">
        <v>23</v>
      </c>
      <c r="C386">
        <v>2026</v>
      </c>
      <c r="D386">
        <v>6</v>
      </c>
      <c r="E386">
        <v>28</v>
      </c>
      <c r="F386">
        <v>12</v>
      </c>
      <c r="G386">
        <v>15</v>
      </c>
      <c r="H386" s="1">
        <f t="shared" ref="H386:H398" si="6">(A386+2209125600)/86400</f>
        <v>46201.093738425923</v>
      </c>
      <c r="I386" s="8">
        <v>127.628845</v>
      </c>
      <c r="J386" s="8">
        <v>1.4992829999999999</v>
      </c>
      <c r="K386" s="8">
        <v>0.93400000000000005</v>
      </c>
      <c r="L386" s="8">
        <v>0.92600000000000005</v>
      </c>
      <c r="M386" s="8">
        <v>181.23500000000001</v>
      </c>
      <c r="N386" s="8">
        <v>8.4969999999999999</v>
      </c>
      <c r="O386" s="8">
        <v>7.8940000000000001</v>
      </c>
      <c r="P386" s="8">
        <v>1.26</v>
      </c>
      <c r="Q386" s="8">
        <v>90.87</v>
      </c>
      <c r="R386" s="8">
        <v>126.17</v>
      </c>
      <c r="S386" s="8">
        <v>-59.38</v>
      </c>
      <c r="T386">
        <v>467</v>
      </c>
      <c r="U386">
        <v>691</v>
      </c>
      <c r="V386" s="8">
        <v>-0.79</v>
      </c>
      <c r="W386" s="8">
        <v>125.19499999999999</v>
      </c>
      <c r="X386" s="8">
        <v>7.82</v>
      </c>
      <c r="Y386" s="8">
        <v>293.39999999999998</v>
      </c>
      <c r="Z386" s="8">
        <v>2</v>
      </c>
    </row>
    <row r="387" spans="1:26" x14ac:dyDescent="0.35">
      <c r="A387">
        <v>1781784899</v>
      </c>
      <c r="B387" t="s">
        <v>23</v>
      </c>
      <c r="C387">
        <v>2026</v>
      </c>
      <c r="D387">
        <v>6</v>
      </c>
      <c r="E387">
        <v>18</v>
      </c>
      <c r="F387">
        <v>12</v>
      </c>
      <c r="G387">
        <v>15</v>
      </c>
      <c r="H387" s="1">
        <f t="shared" si="6"/>
        <v>46191.093738425923</v>
      </c>
      <c r="I387" s="8">
        <v>127.630081</v>
      </c>
      <c r="J387" s="8">
        <v>1.4925060000000001</v>
      </c>
      <c r="K387" s="8">
        <v>1.242</v>
      </c>
      <c r="L387" s="8">
        <v>1.3320000000000001</v>
      </c>
      <c r="M387" s="8">
        <v>181.22</v>
      </c>
      <c r="N387" s="8">
        <v>7.9930000000000003</v>
      </c>
      <c r="O387" s="8">
        <v>7.4080000000000004</v>
      </c>
      <c r="P387" s="8">
        <v>2.0099999999999998</v>
      </c>
      <c r="Q387" s="8">
        <v>-95.74</v>
      </c>
      <c r="R387" s="8">
        <v>127.08</v>
      </c>
      <c r="S387" s="8">
        <v>-59.02</v>
      </c>
      <c r="T387">
        <v>1394</v>
      </c>
      <c r="U387">
        <v>655</v>
      </c>
      <c r="V387" s="8">
        <v>-0.7</v>
      </c>
      <c r="W387" s="8">
        <v>128.261</v>
      </c>
      <c r="X387" s="8">
        <v>15.493</v>
      </c>
      <c r="Y387" s="8">
        <v>293.39999999999998</v>
      </c>
      <c r="Z387" s="8">
        <v>2</v>
      </c>
    </row>
    <row r="388" spans="1:26" x14ac:dyDescent="0.35">
      <c r="A388">
        <v>1781376900</v>
      </c>
      <c r="B388" t="s">
        <v>22</v>
      </c>
      <c r="C388">
        <v>2026</v>
      </c>
      <c r="D388">
        <v>6</v>
      </c>
      <c r="E388">
        <v>13</v>
      </c>
      <c r="F388">
        <v>18</v>
      </c>
      <c r="G388">
        <v>55</v>
      </c>
      <c r="H388" s="1">
        <f t="shared" si="6"/>
        <v>46186.371527777781</v>
      </c>
      <c r="I388" s="8">
        <v>127.631378</v>
      </c>
      <c r="J388" s="8">
        <v>1.4949539999999999</v>
      </c>
      <c r="K388" s="8">
        <v>0.84399999999999997</v>
      </c>
      <c r="L388" s="8">
        <v>0.86399999999999999</v>
      </c>
      <c r="M388" s="8">
        <v>173.65799999999999</v>
      </c>
      <c r="N388" s="8">
        <v>8.0649999999999995</v>
      </c>
      <c r="O388" s="8">
        <v>7.4969999999999999</v>
      </c>
      <c r="P388" s="8">
        <v>5.16</v>
      </c>
      <c r="Q388" s="8">
        <v>-84.22</v>
      </c>
      <c r="R388" s="8">
        <v>123.19</v>
      </c>
      <c r="S388" s="8">
        <v>60.43</v>
      </c>
      <c r="T388">
        <v>2022</v>
      </c>
      <c r="U388">
        <v>734</v>
      </c>
      <c r="V388" s="8">
        <v>-0.79</v>
      </c>
      <c r="W388" s="8">
        <v>119.744</v>
      </c>
      <c r="X388" s="8">
        <v>6.7859999999999996</v>
      </c>
      <c r="Y388" s="8">
        <v>293.10000000000002</v>
      </c>
      <c r="Z388" s="8">
        <v>2.2999999999999998</v>
      </c>
    </row>
    <row r="389" spans="1:26" x14ac:dyDescent="0.35">
      <c r="A389">
        <v>1780489200</v>
      </c>
      <c r="B389" t="s">
        <v>23</v>
      </c>
      <c r="C389">
        <v>2026</v>
      </c>
      <c r="D389">
        <v>6</v>
      </c>
      <c r="E389">
        <v>3</v>
      </c>
      <c r="F389">
        <v>12</v>
      </c>
      <c r="G389">
        <v>20</v>
      </c>
      <c r="H389" s="1">
        <f t="shared" si="6"/>
        <v>46176.097222222219</v>
      </c>
      <c r="I389" s="8">
        <v>127.630745</v>
      </c>
      <c r="J389" s="8">
        <v>1.4964280000000001</v>
      </c>
      <c r="K389" s="8">
        <v>1.724</v>
      </c>
      <c r="L389" s="8">
        <v>1.7250000000000001</v>
      </c>
      <c r="M389" s="8">
        <v>181.411</v>
      </c>
      <c r="N389" s="8">
        <v>8.3989999999999991</v>
      </c>
      <c r="O389" s="8">
        <v>7.7270000000000003</v>
      </c>
      <c r="P389" s="8">
        <v>6.47</v>
      </c>
      <c r="Q389" s="8">
        <v>-100.44</v>
      </c>
      <c r="R389" s="8">
        <v>128.80000000000001</v>
      </c>
      <c r="S389" s="8">
        <v>-59.46</v>
      </c>
      <c r="T389">
        <v>708</v>
      </c>
      <c r="U389">
        <v>605</v>
      </c>
      <c r="V389" s="8">
        <v>-0.63</v>
      </c>
      <c r="W389" s="8">
        <v>133.441</v>
      </c>
      <c r="X389" s="8">
        <v>22.920999999999999</v>
      </c>
      <c r="Y389" s="8">
        <v>293.39999999999998</v>
      </c>
      <c r="Z389" s="8">
        <v>2</v>
      </c>
    </row>
    <row r="390" spans="1:26" x14ac:dyDescent="0.35">
      <c r="A390">
        <v>1780057200</v>
      </c>
      <c r="B390" t="s">
        <v>23</v>
      </c>
      <c r="C390">
        <v>2026</v>
      </c>
      <c r="D390">
        <v>5</v>
      </c>
      <c r="E390">
        <v>29</v>
      </c>
      <c r="F390">
        <v>12</v>
      </c>
      <c r="G390">
        <v>20</v>
      </c>
      <c r="H390" s="1">
        <f t="shared" si="6"/>
        <v>46171.097222222219</v>
      </c>
      <c r="I390" s="8">
        <v>127.63215599999999</v>
      </c>
      <c r="J390" s="8">
        <v>1.4930270000000001</v>
      </c>
      <c r="K390" s="8">
        <v>0.79200000000000004</v>
      </c>
      <c r="L390" s="8">
        <v>0.81399999999999995</v>
      </c>
      <c r="M390" s="8">
        <v>181.40299999999999</v>
      </c>
      <c r="N390" s="8">
        <v>7.673</v>
      </c>
      <c r="O390" s="8">
        <v>7.1020000000000003</v>
      </c>
      <c r="P390" s="8">
        <v>7.96</v>
      </c>
      <c r="Q390" s="8">
        <v>-95.4</v>
      </c>
      <c r="R390" s="8">
        <v>129.49</v>
      </c>
      <c r="S390" s="8">
        <v>-60.21</v>
      </c>
      <c r="T390">
        <v>1131</v>
      </c>
      <c r="U390">
        <v>589</v>
      </c>
      <c r="V390" s="8">
        <v>-0.79</v>
      </c>
      <c r="W390" s="8">
        <v>135.417</v>
      </c>
      <c r="X390" s="8">
        <v>5.5129999999999999</v>
      </c>
      <c r="Y390" s="8">
        <v>293.89999999999998</v>
      </c>
      <c r="Z390" s="8">
        <v>2.2000000000000002</v>
      </c>
    </row>
    <row r="391" spans="1:26" x14ac:dyDescent="0.35">
      <c r="A391">
        <v>1776601800</v>
      </c>
      <c r="B391" t="s">
        <v>23</v>
      </c>
      <c r="C391">
        <v>2026</v>
      </c>
      <c r="D391">
        <v>4</v>
      </c>
      <c r="E391">
        <v>19</v>
      </c>
      <c r="F391">
        <v>12</v>
      </c>
      <c r="G391">
        <v>30</v>
      </c>
      <c r="H391" s="1">
        <f t="shared" si="6"/>
        <v>46131.104166666664</v>
      </c>
      <c r="I391" s="8">
        <v>127.63157699999999</v>
      </c>
      <c r="J391" s="8">
        <v>1.490175</v>
      </c>
      <c r="K391" s="8">
        <v>1.0029999999999999</v>
      </c>
      <c r="L391" s="8">
        <v>1</v>
      </c>
      <c r="M391" s="8">
        <v>181.208</v>
      </c>
      <c r="N391" s="8">
        <v>7.6509999999999998</v>
      </c>
      <c r="O391" s="8">
        <v>7.1630000000000003</v>
      </c>
      <c r="P391" s="8">
        <v>17.07</v>
      </c>
      <c r="Q391" s="8">
        <v>-97</v>
      </c>
      <c r="R391" s="8">
        <v>133.96</v>
      </c>
      <c r="S391" s="8">
        <v>-72.650000000000006</v>
      </c>
      <c r="T391">
        <v>222</v>
      </c>
      <c r="U391">
        <v>488</v>
      </c>
      <c r="V391" s="8">
        <v>-0.75</v>
      </c>
      <c r="W391" s="8">
        <v>148.803</v>
      </c>
      <c r="X391" s="8">
        <v>9.1769999999999996</v>
      </c>
      <c r="Y391" s="8">
        <v>293.60000000000002</v>
      </c>
      <c r="Z391" s="8">
        <v>1.8</v>
      </c>
    </row>
    <row r="392" spans="1:26" x14ac:dyDescent="0.35">
      <c r="A392">
        <v>1776601800</v>
      </c>
      <c r="B392" t="s">
        <v>23</v>
      </c>
      <c r="C392">
        <v>2026</v>
      </c>
      <c r="D392">
        <v>4</v>
      </c>
      <c r="E392">
        <v>19</v>
      </c>
      <c r="F392">
        <v>12</v>
      </c>
      <c r="G392">
        <v>30</v>
      </c>
      <c r="H392" s="1">
        <f t="shared" si="6"/>
        <v>46131.104166666664</v>
      </c>
      <c r="I392" s="8">
        <v>127.630623</v>
      </c>
      <c r="J392" s="8">
        <v>1.4993460000000001</v>
      </c>
      <c r="K392" s="8">
        <v>1.3560000000000001</v>
      </c>
      <c r="L392" s="8">
        <v>1.4510000000000001</v>
      </c>
      <c r="M392" s="8">
        <v>181.208</v>
      </c>
      <c r="N392" s="8">
        <v>7.84</v>
      </c>
      <c r="O392" s="8">
        <v>7.2949999999999999</v>
      </c>
      <c r="P392" s="8">
        <v>17.07</v>
      </c>
      <c r="Q392" s="8">
        <v>-97.35</v>
      </c>
      <c r="R392" s="8">
        <v>133.96</v>
      </c>
      <c r="S392" s="8">
        <v>-72.64</v>
      </c>
      <c r="T392">
        <v>223</v>
      </c>
      <c r="U392">
        <v>488</v>
      </c>
      <c r="V392" s="8">
        <v>-0.67</v>
      </c>
      <c r="W392" s="8">
        <v>148.74</v>
      </c>
      <c r="X392" s="8">
        <v>17.701000000000001</v>
      </c>
      <c r="Y392" s="8">
        <v>293.60000000000002</v>
      </c>
      <c r="Z392" s="8">
        <v>1.8</v>
      </c>
    </row>
    <row r="393" spans="1:26" x14ac:dyDescent="0.35">
      <c r="A393">
        <v>1775328300</v>
      </c>
      <c r="B393" t="s">
        <v>22</v>
      </c>
      <c r="C393">
        <v>2026</v>
      </c>
      <c r="D393">
        <v>4</v>
      </c>
      <c r="E393">
        <v>4</v>
      </c>
      <c r="F393">
        <v>18</v>
      </c>
      <c r="G393">
        <v>45</v>
      </c>
      <c r="H393" s="1">
        <f t="shared" si="6"/>
        <v>46116.364583333336</v>
      </c>
      <c r="I393" s="8">
        <v>127.630768</v>
      </c>
      <c r="J393" s="8">
        <v>1.4943690000000001</v>
      </c>
      <c r="K393" s="8">
        <v>0.747</v>
      </c>
      <c r="L393" s="8">
        <v>0.749</v>
      </c>
      <c r="M393" s="8">
        <v>173.63</v>
      </c>
      <c r="N393" s="8">
        <v>7.032</v>
      </c>
      <c r="O393" s="8">
        <v>6.5730000000000004</v>
      </c>
      <c r="P393" s="8">
        <v>4.93</v>
      </c>
      <c r="Q393" s="8">
        <v>99.06</v>
      </c>
      <c r="R393" s="8">
        <v>130.97999999999999</v>
      </c>
      <c r="S393" s="8">
        <v>80.66</v>
      </c>
      <c r="T393">
        <v>624</v>
      </c>
      <c r="U393">
        <v>622</v>
      </c>
      <c r="V393" s="8">
        <v>-0.8</v>
      </c>
      <c r="W393" s="8">
        <v>135.964</v>
      </c>
      <c r="X393" s="8">
        <v>4.58</v>
      </c>
      <c r="Y393" s="8">
        <v>293.2</v>
      </c>
      <c r="Z393" s="8">
        <v>1.1000000000000001</v>
      </c>
    </row>
    <row r="394" spans="1:26" x14ac:dyDescent="0.35">
      <c r="A394">
        <v>1774896599</v>
      </c>
      <c r="B394" t="s">
        <v>22</v>
      </c>
      <c r="C394">
        <v>2026</v>
      </c>
      <c r="D394">
        <v>3</v>
      </c>
      <c r="E394">
        <v>30</v>
      </c>
      <c r="F394">
        <v>18</v>
      </c>
      <c r="G394">
        <v>50</v>
      </c>
      <c r="H394" s="1">
        <f t="shared" si="6"/>
        <v>46111.368043981478</v>
      </c>
      <c r="I394" s="8">
        <v>127.631844</v>
      </c>
      <c r="J394" s="8">
        <v>1.498983</v>
      </c>
      <c r="K394" s="8">
        <v>1.18</v>
      </c>
      <c r="L394" s="8">
        <v>1.1990000000000001</v>
      </c>
      <c r="M394" s="8">
        <v>173.62700000000001</v>
      </c>
      <c r="N394" s="8">
        <v>8.3979999999999997</v>
      </c>
      <c r="O394" s="8">
        <v>7.8390000000000004</v>
      </c>
      <c r="P394" s="8">
        <v>11.12</v>
      </c>
      <c r="Q394" s="8">
        <v>-81.36</v>
      </c>
      <c r="R394" s="8">
        <v>130.12</v>
      </c>
      <c r="S394" s="8">
        <v>83.3</v>
      </c>
      <c r="T394">
        <v>905</v>
      </c>
      <c r="U394">
        <v>800</v>
      </c>
      <c r="V394" s="8">
        <v>-0.73</v>
      </c>
      <c r="W394" s="8">
        <v>119.892</v>
      </c>
      <c r="X394" s="8">
        <v>13.101000000000001</v>
      </c>
      <c r="Y394" s="8">
        <v>293.10000000000002</v>
      </c>
      <c r="Z394" s="8">
        <v>2.2999999999999998</v>
      </c>
    </row>
    <row r="395" spans="1:26" x14ac:dyDescent="0.35">
      <c r="A395">
        <v>1774873800</v>
      </c>
      <c r="B395" t="s">
        <v>23</v>
      </c>
      <c r="C395">
        <v>2026</v>
      </c>
      <c r="D395">
        <v>3</v>
      </c>
      <c r="E395">
        <v>30</v>
      </c>
      <c r="F395">
        <v>12</v>
      </c>
      <c r="G395">
        <v>30</v>
      </c>
      <c r="H395" s="1">
        <f t="shared" si="6"/>
        <v>46111.104166666664</v>
      </c>
      <c r="I395" s="8">
        <v>127.631485</v>
      </c>
      <c r="J395" s="8">
        <v>1.498472</v>
      </c>
      <c r="K395" s="8">
        <v>1.097</v>
      </c>
      <c r="L395" s="8">
        <v>1.1459999999999999</v>
      </c>
      <c r="M395" s="8">
        <v>181.11099999999999</v>
      </c>
      <c r="N395" s="8">
        <v>8.3539999999999992</v>
      </c>
      <c r="O395" s="8">
        <v>7.8109999999999999</v>
      </c>
      <c r="P395" s="8">
        <v>20.45</v>
      </c>
      <c r="Q395" s="8">
        <v>-97.4</v>
      </c>
      <c r="R395" s="8">
        <v>134.69999999999999</v>
      </c>
      <c r="S395" s="8">
        <v>-83.02</v>
      </c>
      <c r="T395">
        <v>1623</v>
      </c>
      <c r="U395">
        <v>451</v>
      </c>
      <c r="V395" s="8">
        <v>-0.74</v>
      </c>
      <c r="W395" s="8">
        <v>153.167</v>
      </c>
      <c r="X395" s="8">
        <v>12.16</v>
      </c>
      <c r="Y395" s="8">
        <v>293</v>
      </c>
      <c r="Z395" s="8">
        <v>2.4</v>
      </c>
    </row>
    <row r="396" spans="1:26" x14ac:dyDescent="0.35">
      <c r="A396">
        <v>1774441800</v>
      </c>
      <c r="B396" t="s">
        <v>23</v>
      </c>
      <c r="C396">
        <v>2026</v>
      </c>
      <c r="D396">
        <v>3</v>
      </c>
      <c r="E396">
        <v>25</v>
      </c>
      <c r="F396">
        <v>12</v>
      </c>
      <c r="G396">
        <v>30</v>
      </c>
      <c r="H396" s="1">
        <f t="shared" si="6"/>
        <v>46106.104166666664</v>
      </c>
      <c r="I396" s="8">
        <v>127.63001300000001</v>
      </c>
      <c r="J396" s="8">
        <v>1.4964219999999999</v>
      </c>
      <c r="K396" s="8">
        <v>1.746</v>
      </c>
      <c r="L396" s="8">
        <v>1.891</v>
      </c>
      <c r="M396" s="8">
        <v>181.10300000000001</v>
      </c>
      <c r="N396" s="8">
        <v>8.5579999999999998</v>
      </c>
      <c r="O396" s="8">
        <v>7.9589999999999996</v>
      </c>
      <c r="P396" s="8">
        <v>21.08</v>
      </c>
      <c r="Q396" s="8">
        <v>-98.2</v>
      </c>
      <c r="R396" s="8">
        <v>134.69999999999999</v>
      </c>
      <c r="S396" s="8">
        <v>-85.75</v>
      </c>
      <c r="T396">
        <v>1946</v>
      </c>
      <c r="U396">
        <v>444</v>
      </c>
      <c r="V396" s="8">
        <v>-0.62</v>
      </c>
      <c r="W396" s="8">
        <v>153.79</v>
      </c>
      <c r="X396" s="8">
        <v>26.241</v>
      </c>
      <c r="Y396" s="8">
        <v>293</v>
      </c>
      <c r="Z396" s="8">
        <v>2.4</v>
      </c>
    </row>
    <row r="397" spans="1:26" x14ac:dyDescent="0.35">
      <c r="A397">
        <v>1770986400</v>
      </c>
      <c r="B397" t="s">
        <v>23</v>
      </c>
      <c r="C397">
        <v>2026</v>
      </c>
      <c r="D397">
        <v>2</v>
      </c>
      <c r="E397">
        <v>13</v>
      </c>
      <c r="F397">
        <v>12</v>
      </c>
      <c r="G397">
        <v>40</v>
      </c>
      <c r="H397" s="1">
        <f t="shared" si="6"/>
        <v>46066.111111111109</v>
      </c>
      <c r="I397" s="8">
        <v>127.631477</v>
      </c>
      <c r="J397" s="8">
        <v>1.4939629999999999</v>
      </c>
      <c r="K397" s="8">
        <v>1.2929999999999999</v>
      </c>
      <c r="L397" s="8">
        <v>1.3879999999999999</v>
      </c>
      <c r="M397" s="8">
        <v>180.98</v>
      </c>
      <c r="N397" s="8">
        <v>7.6950000000000003</v>
      </c>
      <c r="O397" s="8">
        <v>7.0869999999999997</v>
      </c>
      <c r="P397" s="8">
        <v>24.58</v>
      </c>
      <c r="Q397" s="8">
        <v>-97.06</v>
      </c>
      <c r="R397" s="8">
        <v>133.1</v>
      </c>
      <c r="S397" s="8">
        <v>-106.66</v>
      </c>
      <c r="T397">
        <v>51</v>
      </c>
      <c r="U397">
        <v>406</v>
      </c>
      <c r="V397" s="8">
        <v>-0.67</v>
      </c>
      <c r="W397" s="8">
        <v>156.98500000000001</v>
      </c>
      <c r="X397" s="8">
        <v>16.677</v>
      </c>
      <c r="Y397" s="8">
        <v>293.10000000000002</v>
      </c>
      <c r="Z397" s="8">
        <v>2.9</v>
      </c>
    </row>
    <row r="398" spans="1:26" x14ac:dyDescent="0.35">
      <c r="A398">
        <v>1767962400</v>
      </c>
      <c r="B398" t="s">
        <v>23</v>
      </c>
      <c r="C398">
        <v>2026</v>
      </c>
      <c r="D398">
        <v>1</v>
      </c>
      <c r="E398">
        <v>9</v>
      </c>
      <c r="F398">
        <v>12</v>
      </c>
      <c r="G398">
        <v>40</v>
      </c>
      <c r="H398" s="1">
        <f t="shared" si="6"/>
        <v>46031.111111111109</v>
      </c>
      <c r="I398" s="8">
        <v>127.629761</v>
      </c>
      <c r="J398" s="8">
        <v>1.49898</v>
      </c>
      <c r="K398" s="8">
        <v>1.0189999999999999</v>
      </c>
      <c r="L398" s="8">
        <v>1.147</v>
      </c>
      <c r="M398" s="8">
        <v>180.333</v>
      </c>
      <c r="N398" s="8">
        <v>8.1910000000000007</v>
      </c>
      <c r="O398" s="8">
        <v>7.6459999999999999</v>
      </c>
      <c r="P398" s="8">
        <v>24.47</v>
      </c>
      <c r="Q398" s="8">
        <v>-97.29</v>
      </c>
      <c r="R398" s="8">
        <v>133.16</v>
      </c>
      <c r="S398" s="8">
        <v>-118.96</v>
      </c>
      <c r="T398">
        <v>1342</v>
      </c>
      <c r="U398">
        <v>407</v>
      </c>
      <c r="V398" s="8">
        <v>-0.74</v>
      </c>
      <c r="W398" s="8">
        <v>153.91200000000001</v>
      </c>
      <c r="X398" s="8">
        <v>12.154999999999999</v>
      </c>
      <c r="Y398" s="8">
        <v>293.10000000000002</v>
      </c>
      <c r="Z398" s="8">
        <v>2</v>
      </c>
    </row>
  </sheetData>
  <sortState xmlns:xlrd2="http://schemas.microsoft.com/office/spreadsheetml/2017/richdata2" ref="A2:W369">
    <sortCondition ref="A2:A369"/>
  </sortState>
  <pageMargins left="0.7" right="0.7" top="0.75" bottom="0.75" header="0.3" footer="0.3"/>
  <pageSetup paperSize="9" orientation="portrait" horizontalDpi="4294967295" verticalDpi="4294967295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K398"/>
  <sheetViews>
    <sheetView topLeftCell="A368" workbookViewId="0">
      <selection activeCell="K372" sqref="K372:K394"/>
    </sheetView>
  </sheetViews>
  <sheetFormatPr defaultColWidth="11.453125" defaultRowHeight="14.5" x14ac:dyDescent="0.35"/>
  <cols>
    <col min="1" max="1" width="13.7265625" bestFit="1" customWidth="1"/>
    <col min="8" max="8" width="13.7265625" bestFit="1" customWidth="1"/>
  </cols>
  <sheetData>
    <row r="1" spans="1:11" x14ac:dyDescent="0.35">
      <c r="A1" t="s">
        <v>24</v>
      </c>
      <c r="B1" t="s">
        <v>9</v>
      </c>
      <c r="C1">
        <v>1</v>
      </c>
      <c r="D1" t="s">
        <v>25</v>
      </c>
      <c r="E1" t="s">
        <v>26</v>
      </c>
      <c r="F1" t="s">
        <v>27</v>
      </c>
      <c r="H1" t="s">
        <v>24</v>
      </c>
      <c r="I1" t="s">
        <v>25</v>
      </c>
      <c r="J1" t="s">
        <v>26</v>
      </c>
      <c r="K1" t="s">
        <v>27</v>
      </c>
    </row>
    <row r="2" spans="1:11" x14ac:dyDescent="0.35">
      <c r="A2" s="1">
        <v>36911.65625</v>
      </c>
      <c r="B2">
        <v>0.31</v>
      </c>
      <c r="C2">
        <f>IF(A2=A3,IF(A2=A4,IF(A2=A5,IF(A2=A6,IF(A2=A7,IF(A2=A8,IF(A2=A9,IF(A2=A10,9,8),7),6),5),4),3),2),1)</f>
        <v>2</v>
      </c>
      <c r="D2">
        <f>IF(C1&gt;1,0,C2)</f>
        <v>2</v>
      </c>
      <c r="E2">
        <f>IF(D2=1,B2,IF(D2=2,MAX(B2:B3),IF(D2=3,MAX(B2:B4),IF(D2=4,MAX(B2:B5),IF(D2=5,MAX(B2:B6),IF(D2=6,MAX(B2:B7),IF(D2=7,MAX(B2:B8),IF(D2=3,MAX(B2:B9),IF(D2=9,MAX(B2:B10),0)))))))))</f>
        <v>0.31</v>
      </c>
      <c r="F2">
        <f>IF(D2=1,B2,IF(D2=2,SUM(B2:B3),IF(D2=3,SUM(B2:B4),IF(D2=4,SUM(B2:B5),IF(D2=5,SUM(B2:B6),IF(D2=6,SUM(B2:B7),IF(D2=7,SUM(B2:B8),IF(D2=8,SUM(B2:B9),IF(D2=9,SUM(B2:B10),0)))))))))</f>
        <v>0.60099999999999998</v>
      </c>
      <c r="H2" s="1">
        <v>36911.65625</v>
      </c>
      <c r="I2">
        <v>2</v>
      </c>
      <c r="J2">
        <v>0.31</v>
      </c>
      <c r="K2">
        <v>0.60099999999999998</v>
      </c>
    </row>
    <row r="3" spans="1:11" x14ac:dyDescent="0.35">
      <c r="A3" s="1">
        <v>36911.65625</v>
      </c>
      <c r="B3">
        <v>0.29099999999999998</v>
      </c>
      <c r="C3">
        <f t="shared" ref="C3:C66" si="0">IF(A3=A4,IF(A3=A5,IF(A3=A6,IF(A3=A7,IF(A3=A8,IF(A3=A9,IF(A3=A10,IF(A3=A11,9,8),7),6),5),4),3),2),1)</f>
        <v>1</v>
      </c>
      <c r="D3">
        <f t="shared" ref="D3:D66" si="1">IF(C2&gt;1,0,C3)</f>
        <v>0</v>
      </c>
      <c r="E3">
        <f t="shared" ref="E3:E66" si="2">IF(D3=1,B3,IF(D3=2,MAX(B3:B4),IF(D3=3,MAX(B3:B5),IF(D3=4,MAX(B3:B6),IF(D3=5,MAX(B3:B7),IF(D3=6,MAX(B3:B8),IF(D3=7,MAX(B3:B9),IF(D3=3,MAX(B3:B10),IF(D3=9,MAX(B3:B11),0)))))))))</f>
        <v>0</v>
      </c>
      <c r="F3">
        <f t="shared" ref="F3:F66" si="3">IF(D3=1,B3,IF(D3=2,SUM(B3:B4),IF(D3=3,SUM(B3:B5),IF(D3=4,SUM(B3:B6),IF(D3=5,SUM(B3:B7),IF(D3=6,SUM(B3:B8),IF(D3=7,SUM(B3:B9),IF(D3=8,SUM(B3:B10),IF(D3=9,SUM(B3:B11),0)))))))))</f>
        <v>0</v>
      </c>
      <c r="H3" s="1">
        <v>36915.638888888891</v>
      </c>
      <c r="I3">
        <v>1</v>
      </c>
      <c r="J3">
        <v>0.54900000000000004</v>
      </c>
      <c r="K3">
        <v>0.54900000000000004</v>
      </c>
    </row>
    <row r="4" spans="1:11" x14ac:dyDescent="0.35">
      <c r="A4" s="1">
        <v>36915.638888888891</v>
      </c>
      <c r="B4">
        <v>0.54900000000000004</v>
      </c>
      <c r="C4">
        <f t="shared" si="0"/>
        <v>1</v>
      </c>
      <c r="D4">
        <f t="shared" si="1"/>
        <v>1</v>
      </c>
      <c r="E4">
        <f t="shared" si="2"/>
        <v>0.54900000000000004</v>
      </c>
      <c r="F4">
        <f t="shared" si="3"/>
        <v>0.54900000000000004</v>
      </c>
      <c r="H4" s="1">
        <v>36918.659722222219</v>
      </c>
      <c r="I4">
        <v>4</v>
      </c>
      <c r="J4">
        <v>1.075</v>
      </c>
      <c r="K4">
        <v>3.734</v>
      </c>
    </row>
    <row r="5" spans="1:11" x14ac:dyDescent="0.35">
      <c r="A5" s="1">
        <v>36918.659722222219</v>
      </c>
      <c r="B5">
        <v>1.0720000000000001</v>
      </c>
      <c r="C5">
        <f t="shared" si="0"/>
        <v>4</v>
      </c>
      <c r="D5">
        <f t="shared" si="1"/>
        <v>4</v>
      </c>
      <c r="E5">
        <f t="shared" si="2"/>
        <v>1.075</v>
      </c>
      <c r="F5">
        <f t="shared" si="3"/>
        <v>3.734</v>
      </c>
      <c r="H5" s="1">
        <v>36938.131944444445</v>
      </c>
      <c r="I5">
        <v>2</v>
      </c>
      <c r="J5">
        <v>2.9929999999999999</v>
      </c>
      <c r="K5">
        <v>5.6559999999999997</v>
      </c>
    </row>
    <row r="6" spans="1:11" x14ac:dyDescent="0.35">
      <c r="A6" s="1">
        <v>36918.659722222219</v>
      </c>
      <c r="B6">
        <v>0.89300000000000002</v>
      </c>
      <c r="C6">
        <f t="shared" si="0"/>
        <v>3</v>
      </c>
      <c r="D6">
        <f t="shared" si="1"/>
        <v>0</v>
      </c>
      <c r="E6">
        <f t="shared" si="2"/>
        <v>0</v>
      </c>
      <c r="F6">
        <f t="shared" si="3"/>
        <v>0</v>
      </c>
      <c r="H6" s="1">
        <v>36945.645833333336</v>
      </c>
      <c r="I6">
        <v>4</v>
      </c>
      <c r="J6">
        <v>3.1349999999999998</v>
      </c>
      <c r="K6">
        <v>7.0689999999999991</v>
      </c>
    </row>
    <row r="7" spans="1:11" x14ac:dyDescent="0.35">
      <c r="A7" s="1">
        <v>36918.659722222219</v>
      </c>
      <c r="B7">
        <v>0.69399999999999995</v>
      </c>
      <c r="C7">
        <f t="shared" si="0"/>
        <v>2</v>
      </c>
      <c r="D7">
        <f t="shared" si="1"/>
        <v>0</v>
      </c>
      <c r="E7">
        <f t="shared" si="2"/>
        <v>0</v>
      </c>
      <c r="F7">
        <f t="shared" si="3"/>
        <v>0</v>
      </c>
      <c r="H7" s="1">
        <v>36947.638888888891</v>
      </c>
      <c r="I7">
        <v>2</v>
      </c>
      <c r="J7">
        <v>8.0609999999999999</v>
      </c>
      <c r="K7">
        <v>10.516</v>
      </c>
    </row>
    <row r="8" spans="1:11" x14ac:dyDescent="0.35">
      <c r="A8" s="1">
        <v>36918.659722222219</v>
      </c>
      <c r="B8">
        <v>1.075</v>
      </c>
      <c r="C8">
        <f t="shared" si="0"/>
        <v>1</v>
      </c>
      <c r="D8">
        <f t="shared" si="1"/>
        <v>0</v>
      </c>
      <c r="E8">
        <f t="shared" si="2"/>
        <v>0</v>
      </c>
      <c r="F8">
        <f t="shared" si="3"/>
        <v>0</v>
      </c>
      <c r="H8" s="1">
        <v>36950.149305555555</v>
      </c>
      <c r="I8">
        <v>1</v>
      </c>
      <c r="J8">
        <v>3.4660000000000002</v>
      </c>
      <c r="K8">
        <v>3.4660000000000002</v>
      </c>
    </row>
    <row r="9" spans="1:11" x14ac:dyDescent="0.35">
      <c r="A9" s="1">
        <v>36938.131944444445</v>
      </c>
      <c r="B9">
        <v>2.6629999999999998</v>
      </c>
      <c r="C9">
        <f t="shared" si="0"/>
        <v>2</v>
      </c>
      <c r="D9">
        <f t="shared" si="1"/>
        <v>2</v>
      </c>
      <c r="E9">
        <f t="shared" si="2"/>
        <v>2.9929999999999999</v>
      </c>
      <c r="F9">
        <f t="shared" si="3"/>
        <v>5.6559999999999997</v>
      </c>
      <c r="H9" s="1">
        <v>36952.138888888891</v>
      </c>
      <c r="I9">
        <v>1</v>
      </c>
      <c r="J9">
        <v>4.5369999999999999</v>
      </c>
      <c r="K9">
        <v>4.5369999999999999</v>
      </c>
    </row>
    <row r="10" spans="1:11" x14ac:dyDescent="0.35">
      <c r="A10" s="1">
        <v>36938.131944444445</v>
      </c>
      <c r="B10">
        <v>2.9929999999999999</v>
      </c>
      <c r="C10">
        <f t="shared" si="0"/>
        <v>1</v>
      </c>
      <c r="D10">
        <f t="shared" si="1"/>
        <v>0</v>
      </c>
      <c r="E10">
        <f t="shared" si="2"/>
        <v>0</v>
      </c>
      <c r="F10">
        <f t="shared" si="3"/>
        <v>0</v>
      </c>
      <c r="H10" s="1">
        <v>36959.142361111109</v>
      </c>
      <c r="I10">
        <v>1</v>
      </c>
      <c r="J10">
        <v>2.7629999999999999</v>
      </c>
      <c r="K10">
        <v>2.7629999999999999</v>
      </c>
    </row>
    <row r="11" spans="1:11" x14ac:dyDescent="0.35">
      <c r="A11" s="1">
        <v>36945.645833333336</v>
      </c>
      <c r="B11">
        <v>0.622</v>
      </c>
      <c r="C11">
        <f t="shared" si="0"/>
        <v>4</v>
      </c>
      <c r="D11">
        <f t="shared" si="1"/>
        <v>4</v>
      </c>
      <c r="E11">
        <f t="shared" si="2"/>
        <v>3.1349999999999998</v>
      </c>
      <c r="F11">
        <f t="shared" si="3"/>
        <v>7.0689999999999991</v>
      </c>
      <c r="H11" s="1">
        <v>36959.65625</v>
      </c>
      <c r="I11">
        <v>3</v>
      </c>
      <c r="J11">
        <v>1.5</v>
      </c>
      <c r="K11">
        <v>3.4870000000000001</v>
      </c>
    </row>
    <row r="12" spans="1:11" x14ac:dyDescent="0.35">
      <c r="A12" s="1">
        <v>36945.645833333336</v>
      </c>
      <c r="B12">
        <v>3.1349999999999998</v>
      </c>
      <c r="C12">
        <f t="shared" si="0"/>
        <v>3</v>
      </c>
      <c r="D12">
        <f t="shared" si="1"/>
        <v>0</v>
      </c>
      <c r="E12">
        <f t="shared" si="2"/>
        <v>0</v>
      </c>
      <c r="F12">
        <f t="shared" si="3"/>
        <v>0</v>
      </c>
      <c r="H12" s="1">
        <v>36963.638888888891</v>
      </c>
      <c r="I12">
        <v>2</v>
      </c>
      <c r="J12">
        <v>1.012</v>
      </c>
      <c r="K12">
        <v>1.65</v>
      </c>
    </row>
    <row r="13" spans="1:11" x14ac:dyDescent="0.35">
      <c r="A13" s="1">
        <v>36945.645833333336</v>
      </c>
      <c r="B13">
        <v>0.67500000000000004</v>
      </c>
      <c r="C13">
        <f t="shared" si="0"/>
        <v>2</v>
      </c>
      <c r="D13">
        <f t="shared" si="1"/>
        <v>0</v>
      </c>
      <c r="E13">
        <f t="shared" si="2"/>
        <v>0</v>
      </c>
      <c r="F13">
        <f t="shared" si="3"/>
        <v>0</v>
      </c>
      <c r="H13" s="1">
        <v>36968.138888888891</v>
      </c>
      <c r="I13">
        <v>1</v>
      </c>
      <c r="J13">
        <v>3.2549999999999999</v>
      </c>
      <c r="K13">
        <v>3.2549999999999999</v>
      </c>
    </row>
    <row r="14" spans="1:11" x14ac:dyDescent="0.35">
      <c r="A14" s="1">
        <v>36945.645833333336</v>
      </c>
      <c r="B14">
        <v>2.637</v>
      </c>
      <c r="C14">
        <f t="shared" si="0"/>
        <v>1</v>
      </c>
      <c r="D14">
        <f t="shared" si="1"/>
        <v>0</v>
      </c>
      <c r="E14">
        <f t="shared" si="2"/>
        <v>0</v>
      </c>
      <c r="F14">
        <f t="shared" si="3"/>
        <v>0</v>
      </c>
      <c r="H14" s="1">
        <v>36968.649305555555</v>
      </c>
      <c r="I14">
        <v>2</v>
      </c>
      <c r="J14">
        <v>2.2090000000000001</v>
      </c>
      <c r="K14">
        <v>3.2650000000000001</v>
      </c>
    </row>
    <row r="15" spans="1:11" x14ac:dyDescent="0.35">
      <c r="A15" s="1">
        <v>36947.638888888891</v>
      </c>
      <c r="B15">
        <v>2.4550000000000001</v>
      </c>
      <c r="C15">
        <f t="shared" si="0"/>
        <v>2</v>
      </c>
      <c r="D15">
        <f t="shared" si="1"/>
        <v>2</v>
      </c>
      <c r="E15">
        <f t="shared" si="2"/>
        <v>8.0609999999999999</v>
      </c>
      <c r="F15">
        <f t="shared" si="3"/>
        <v>10.516</v>
      </c>
      <c r="H15" s="1">
        <v>36991.65625</v>
      </c>
      <c r="I15">
        <v>2</v>
      </c>
      <c r="J15">
        <v>1.7709999999999999</v>
      </c>
      <c r="K15">
        <v>3.0510000000000002</v>
      </c>
    </row>
    <row r="16" spans="1:11" x14ac:dyDescent="0.35">
      <c r="A16" s="1">
        <v>36947.638888888891</v>
      </c>
      <c r="B16">
        <v>8.0609999999999999</v>
      </c>
      <c r="C16">
        <f t="shared" si="0"/>
        <v>1</v>
      </c>
      <c r="D16">
        <f t="shared" si="1"/>
        <v>0</v>
      </c>
      <c r="E16">
        <f t="shared" si="2"/>
        <v>0</v>
      </c>
      <c r="F16">
        <f t="shared" si="3"/>
        <v>0</v>
      </c>
      <c r="H16" s="1">
        <v>36995.638888888891</v>
      </c>
      <c r="I16">
        <v>2</v>
      </c>
      <c r="J16">
        <v>1.3149999999999999</v>
      </c>
      <c r="K16">
        <v>2.3839999999999999</v>
      </c>
    </row>
    <row r="17" spans="1:11" x14ac:dyDescent="0.35">
      <c r="A17" s="1">
        <v>36950.149305555555</v>
      </c>
      <c r="B17">
        <v>3.4660000000000002</v>
      </c>
      <c r="C17">
        <f t="shared" si="0"/>
        <v>1</v>
      </c>
      <c r="D17">
        <f t="shared" si="1"/>
        <v>1</v>
      </c>
      <c r="E17">
        <f t="shared" si="2"/>
        <v>3.4660000000000002</v>
      </c>
      <c r="F17">
        <f t="shared" si="3"/>
        <v>3.4660000000000002</v>
      </c>
      <c r="H17" s="1">
        <v>37000.649305555555</v>
      </c>
      <c r="I17">
        <v>1</v>
      </c>
      <c r="J17">
        <v>0.83299999999999996</v>
      </c>
      <c r="K17">
        <v>0.83299999999999996</v>
      </c>
    </row>
    <row r="18" spans="1:11" x14ac:dyDescent="0.35">
      <c r="A18" s="1">
        <v>36952.138888888891</v>
      </c>
      <c r="B18">
        <v>4.5369999999999999</v>
      </c>
      <c r="C18">
        <f t="shared" si="0"/>
        <v>1</v>
      </c>
      <c r="D18">
        <f t="shared" si="1"/>
        <v>1</v>
      </c>
      <c r="E18">
        <f t="shared" si="2"/>
        <v>4.5369999999999999</v>
      </c>
      <c r="F18">
        <f t="shared" si="3"/>
        <v>4.5369999999999999</v>
      </c>
      <c r="H18" s="1">
        <v>37002.642361111109</v>
      </c>
      <c r="I18">
        <v>1</v>
      </c>
      <c r="J18">
        <v>0.98699999999999999</v>
      </c>
      <c r="K18">
        <v>0.98699999999999999</v>
      </c>
    </row>
    <row r="19" spans="1:11" x14ac:dyDescent="0.35">
      <c r="A19" s="1">
        <v>36959.142361111109</v>
      </c>
      <c r="B19">
        <v>2.7629999999999999</v>
      </c>
      <c r="C19">
        <f t="shared" si="0"/>
        <v>1</v>
      </c>
      <c r="D19">
        <f t="shared" si="1"/>
        <v>1</v>
      </c>
      <c r="E19">
        <f t="shared" si="2"/>
        <v>2.7629999999999999</v>
      </c>
      <c r="F19">
        <f t="shared" si="3"/>
        <v>2.7629999999999999</v>
      </c>
      <c r="H19" s="1">
        <v>37007.65625</v>
      </c>
      <c r="I19">
        <v>1</v>
      </c>
      <c r="J19">
        <v>1.4</v>
      </c>
      <c r="K19">
        <v>1.4</v>
      </c>
    </row>
    <row r="20" spans="1:11" x14ac:dyDescent="0.35">
      <c r="A20" s="1">
        <v>36959.65625</v>
      </c>
      <c r="B20">
        <v>1.2929999999999999</v>
      </c>
      <c r="C20">
        <f t="shared" si="0"/>
        <v>3</v>
      </c>
      <c r="D20">
        <f t="shared" si="1"/>
        <v>3</v>
      </c>
      <c r="E20">
        <f t="shared" si="2"/>
        <v>1.5</v>
      </c>
      <c r="F20">
        <f t="shared" si="3"/>
        <v>3.4870000000000001</v>
      </c>
      <c r="H20" s="1">
        <v>37009.645833333336</v>
      </c>
      <c r="I20">
        <v>3</v>
      </c>
      <c r="J20">
        <v>2.1930000000000001</v>
      </c>
      <c r="K20">
        <v>4.63</v>
      </c>
    </row>
    <row r="21" spans="1:11" x14ac:dyDescent="0.35">
      <c r="A21" s="1">
        <v>36959.65625</v>
      </c>
      <c r="B21">
        <v>0.69399999999999995</v>
      </c>
      <c r="C21">
        <f t="shared" si="0"/>
        <v>2</v>
      </c>
      <c r="D21">
        <f t="shared" si="1"/>
        <v>0</v>
      </c>
      <c r="E21">
        <f t="shared" si="2"/>
        <v>0</v>
      </c>
      <c r="F21">
        <f t="shared" si="3"/>
        <v>0</v>
      </c>
      <c r="H21" s="1">
        <v>37011.638888888891</v>
      </c>
      <c r="I21">
        <v>2</v>
      </c>
      <c r="J21">
        <v>1.097</v>
      </c>
      <c r="K21">
        <v>1.8639999999999999</v>
      </c>
    </row>
    <row r="22" spans="1:11" x14ac:dyDescent="0.35">
      <c r="A22" s="1">
        <v>36959.65625</v>
      </c>
      <c r="B22">
        <v>1.5</v>
      </c>
      <c r="C22">
        <f t="shared" si="0"/>
        <v>1</v>
      </c>
      <c r="D22">
        <f t="shared" si="1"/>
        <v>0</v>
      </c>
      <c r="E22">
        <f t="shared" si="2"/>
        <v>0</v>
      </c>
      <c r="F22">
        <f t="shared" si="3"/>
        <v>0</v>
      </c>
      <c r="H22" s="1">
        <v>37016.649305555555</v>
      </c>
      <c r="I22">
        <v>2</v>
      </c>
      <c r="J22">
        <v>0.71299999999999997</v>
      </c>
      <c r="K22">
        <v>1.4169999999999998</v>
      </c>
    </row>
    <row r="23" spans="1:11" x14ac:dyDescent="0.35">
      <c r="A23" s="1">
        <v>36963.638888888891</v>
      </c>
      <c r="B23">
        <v>0.63800000000000001</v>
      </c>
      <c r="C23">
        <f t="shared" si="0"/>
        <v>2</v>
      </c>
      <c r="D23">
        <f t="shared" si="1"/>
        <v>2</v>
      </c>
      <c r="E23">
        <f t="shared" si="2"/>
        <v>1.012</v>
      </c>
      <c r="F23">
        <f t="shared" si="3"/>
        <v>1.65</v>
      </c>
      <c r="H23" s="1">
        <v>37018.642361111109</v>
      </c>
      <c r="I23">
        <v>2</v>
      </c>
      <c r="J23">
        <v>1.837</v>
      </c>
      <c r="K23">
        <v>3.262</v>
      </c>
    </row>
    <row r="24" spans="1:11" x14ac:dyDescent="0.35">
      <c r="A24" s="1">
        <v>36963.638888888891</v>
      </c>
      <c r="B24">
        <v>1.012</v>
      </c>
      <c r="C24">
        <f t="shared" si="0"/>
        <v>1</v>
      </c>
      <c r="D24">
        <f t="shared" si="1"/>
        <v>0</v>
      </c>
      <c r="E24">
        <f t="shared" si="2"/>
        <v>0</v>
      </c>
      <c r="F24">
        <f t="shared" si="3"/>
        <v>0</v>
      </c>
      <c r="H24" s="1">
        <v>37020.631944444445</v>
      </c>
      <c r="I24">
        <v>2</v>
      </c>
      <c r="J24">
        <v>1.0189999999999999</v>
      </c>
      <c r="K24">
        <v>1.7669999999999999</v>
      </c>
    </row>
    <row r="25" spans="1:11" x14ac:dyDescent="0.35">
      <c r="A25" s="1">
        <v>36968.138888888891</v>
      </c>
      <c r="B25">
        <v>3.2549999999999999</v>
      </c>
      <c r="C25">
        <f t="shared" si="0"/>
        <v>1</v>
      </c>
      <c r="D25">
        <f t="shared" si="1"/>
        <v>1</v>
      </c>
      <c r="E25">
        <f t="shared" si="2"/>
        <v>3.2549999999999999</v>
      </c>
      <c r="F25">
        <f t="shared" si="3"/>
        <v>3.2549999999999999</v>
      </c>
      <c r="H25" s="1">
        <v>37021.663194444445</v>
      </c>
      <c r="I25">
        <v>1</v>
      </c>
      <c r="J25">
        <v>0.97099999999999997</v>
      </c>
      <c r="K25">
        <v>0.97099999999999997</v>
      </c>
    </row>
    <row r="26" spans="1:11" x14ac:dyDescent="0.35">
      <c r="A26" s="1">
        <v>36968.649305555555</v>
      </c>
      <c r="B26">
        <v>1.056</v>
      </c>
      <c r="C26">
        <f t="shared" si="0"/>
        <v>2</v>
      </c>
      <c r="D26">
        <f t="shared" si="1"/>
        <v>2</v>
      </c>
      <c r="E26">
        <f t="shared" si="2"/>
        <v>2.2090000000000001</v>
      </c>
      <c r="F26">
        <f t="shared" si="3"/>
        <v>3.2650000000000001</v>
      </c>
      <c r="H26" s="1">
        <v>37023.142361111109</v>
      </c>
      <c r="I26">
        <v>1</v>
      </c>
      <c r="J26">
        <v>3.63</v>
      </c>
      <c r="K26">
        <v>3.63</v>
      </c>
    </row>
    <row r="27" spans="1:11" x14ac:dyDescent="0.35">
      <c r="A27" s="1">
        <v>36968.649305555555</v>
      </c>
      <c r="B27">
        <v>2.2090000000000001</v>
      </c>
      <c r="C27">
        <f t="shared" si="0"/>
        <v>1</v>
      </c>
      <c r="D27">
        <f t="shared" si="1"/>
        <v>0</v>
      </c>
      <c r="E27">
        <f t="shared" si="2"/>
        <v>0</v>
      </c>
      <c r="F27">
        <f t="shared" si="3"/>
        <v>0</v>
      </c>
      <c r="H27" s="1">
        <v>37023.652777777781</v>
      </c>
      <c r="I27">
        <v>3</v>
      </c>
      <c r="J27">
        <v>1.63</v>
      </c>
      <c r="K27">
        <v>4.0299999999999994</v>
      </c>
    </row>
    <row r="28" spans="1:11" x14ac:dyDescent="0.35">
      <c r="A28" s="1">
        <v>36991.65625</v>
      </c>
      <c r="B28">
        <v>1.7709999999999999</v>
      </c>
      <c r="C28">
        <f t="shared" si="0"/>
        <v>2</v>
      </c>
      <c r="D28">
        <f t="shared" si="1"/>
        <v>2</v>
      </c>
      <c r="E28">
        <f t="shared" si="2"/>
        <v>1.7709999999999999</v>
      </c>
      <c r="F28">
        <f t="shared" si="3"/>
        <v>3.0510000000000002</v>
      </c>
      <c r="H28" s="1">
        <v>37025.135416666664</v>
      </c>
      <c r="I28">
        <v>2</v>
      </c>
      <c r="J28">
        <v>2.8889999999999998</v>
      </c>
      <c r="K28">
        <v>5.6340000000000003</v>
      </c>
    </row>
    <row r="29" spans="1:11" x14ac:dyDescent="0.35">
      <c r="A29" s="1">
        <v>36991.65625</v>
      </c>
      <c r="B29">
        <v>1.28</v>
      </c>
      <c r="C29">
        <f t="shared" si="0"/>
        <v>1</v>
      </c>
      <c r="D29">
        <f t="shared" si="1"/>
        <v>0</v>
      </c>
      <c r="E29">
        <f t="shared" si="2"/>
        <v>0</v>
      </c>
      <c r="F29">
        <f t="shared" si="3"/>
        <v>0</v>
      </c>
      <c r="H29" s="1">
        <v>37025.645833333336</v>
      </c>
      <c r="I29">
        <v>2</v>
      </c>
      <c r="J29">
        <v>1.9950000000000001</v>
      </c>
      <c r="K29">
        <v>3.59</v>
      </c>
    </row>
    <row r="30" spans="1:11" x14ac:dyDescent="0.35">
      <c r="A30" s="1">
        <v>36995.638888888891</v>
      </c>
      <c r="B30">
        <v>1.3149999999999999</v>
      </c>
      <c r="C30">
        <f t="shared" si="0"/>
        <v>2</v>
      </c>
      <c r="D30">
        <f t="shared" si="1"/>
        <v>2</v>
      </c>
      <c r="E30">
        <f t="shared" si="2"/>
        <v>1.3149999999999999</v>
      </c>
      <c r="F30">
        <f t="shared" si="3"/>
        <v>2.3839999999999999</v>
      </c>
      <c r="H30" s="1">
        <v>37027.638888888891</v>
      </c>
      <c r="I30">
        <v>1</v>
      </c>
      <c r="J30">
        <v>1.869</v>
      </c>
      <c r="K30">
        <v>1.869</v>
      </c>
    </row>
    <row r="31" spans="1:11" x14ac:dyDescent="0.35">
      <c r="A31" s="1">
        <v>36995.638888888891</v>
      </c>
      <c r="B31">
        <v>1.069</v>
      </c>
      <c r="C31">
        <f t="shared" si="0"/>
        <v>1</v>
      </c>
      <c r="D31">
        <f t="shared" si="1"/>
        <v>0</v>
      </c>
      <c r="E31">
        <f t="shared" si="2"/>
        <v>0</v>
      </c>
      <c r="F31">
        <f t="shared" si="3"/>
        <v>0</v>
      </c>
      <c r="H31" s="1">
        <v>37032.649305555555</v>
      </c>
      <c r="I31">
        <v>3</v>
      </c>
      <c r="J31">
        <v>1.869</v>
      </c>
      <c r="K31">
        <v>4.8330000000000002</v>
      </c>
    </row>
    <row r="32" spans="1:11" x14ac:dyDescent="0.35">
      <c r="A32" s="1">
        <v>37000.649305555555</v>
      </c>
      <c r="B32">
        <v>0.83299999999999996</v>
      </c>
      <c r="C32">
        <f t="shared" si="0"/>
        <v>1</v>
      </c>
      <c r="D32">
        <f t="shared" si="1"/>
        <v>1</v>
      </c>
      <c r="E32">
        <f t="shared" si="2"/>
        <v>0.83299999999999996</v>
      </c>
      <c r="F32">
        <f t="shared" si="3"/>
        <v>0.83299999999999996</v>
      </c>
      <c r="H32" s="1">
        <v>37034.642361111109</v>
      </c>
      <c r="I32">
        <v>3</v>
      </c>
      <c r="J32">
        <v>2.0609999999999999</v>
      </c>
      <c r="K32">
        <v>5.3959999999999999</v>
      </c>
    </row>
    <row r="33" spans="1:11" x14ac:dyDescent="0.35">
      <c r="A33" s="1">
        <v>37002.642361111109</v>
      </c>
      <c r="B33">
        <v>0.98699999999999999</v>
      </c>
      <c r="C33">
        <f t="shared" si="0"/>
        <v>1</v>
      </c>
      <c r="D33">
        <f t="shared" si="1"/>
        <v>1</v>
      </c>
      <c r="E33">
        <f t="shared" si="2"/>
        <v>0.98699999999999999</v>
      </c>
      <c r="F33">
        <f t="shared" si="3"/>
        <v>0.98699999999999999</v>
      </c>
      <c r="H33" s="1">
        <v>37037.663194444445</v>
      </c>
      <c r="I33">
        <v>4</v>
      </c>
      <c r="J33">
        <v>1.4970000000000001</v>
      </c>
      <c r="K33">
        <v>4.1929999999999996</v>
      </c>
    </row>
    <row r="34" spans="1:11" x14ac:dyDescent="0.35">
      <c r="A34" s="1">
        <v>37007.65625</v>
      </c>
      <c r="B34">
        <v>1.4</v>
      </c>
      <c r="C34">
        <f t="shared" si="0"/>
        <v>1</v>
      </c>
      <c r="D34">
        <f t="shared" si="1"/>
        <v>1</v>
      </c>
      <c r="E34">
        <f t="shared" si="2"/>
        <v>1.4</v>
      </c>
      <c r="F34">
        <f t="shared" si="3"/>
        <v>1.4</v>
      </c>
      <c r="H34" s="1">
        <v>37039.652777777781</v>
      </c>
      <c r="I34">
        <v>4</v>
      </c>
      <c r="J34">
        <v>1.8819999999999999</v>
      </c>
      <c r="K34">
        <v>5.5830000000000002</v>
      </c>
    </row>
    <row r="35" spans="1:11" x14ac:dyDescent="0.35">
      <c r="A35" s="1">
        <v>37009.645833333336</v>
      </c>
      <c r="B35">
        <v>2.1930000000000001</v>
      </c>
      <c r="C35">
        <f t="shared" si="0"/>
        <v>3</v>
      </c>
      <c r="D35">
        <f t="shared" si="1"/>
        <v>3</v>
      </c>
      <c r="E35">
        <f t="shared" si="2"/>
        <v>2.1930000000000001</v>
      </c>
      <c r="F35">
        <f t="shared" si="3"/>
        <v>4.63</v>
      </c>
      <c r="H35" s="1">
        <v>37041.645833333336</v>
      </c>
      <c r="I35">
        <v>3</v>
      </c>
      <c r="J35">
        <v>3.875</v>
      </c>
      <c r="K35">
        <v>6.7439999999999998</v>
      </c>
    </row>
    <row r="36" spans="1:11" x14ac:dyDescent="0.35">
      <c r="A36" s="1">
        <v>37009.645833333336</v>
      </c>
      <c r="B36">
        <v>1.2829999999999999</v>
      </c>
      <c r="C36">
        <f t="shared" si="0"/>
        <v>2</v>
      </c>
      <c r="D36">
        <f t="shared" si="1"/>
        <v>0</v>
      </c>
      <c r="E36">
        <f t="shared" si="2"/>
        <v>0</v>
      </c>
      <c r="F36">
        <f t="shared" si="3"/>
        <v>0</v>
      </c>
      <c r="H36" s="1">
        <v>37048.649305555555</v>
      </c>
      <c r="I36">
        <v>1</v>
      </c>
      <c r="J36">
        <v>1.387</v>
      </c>
      <c r="K36">
        <v>1.387</v>
      </c>
    </row>
    <row r="37" spans="1:11" x14ac:dyDescent="0.35">
      <c r="A37" s="1">
        <v>37009.645833333336</v>
      </c>
      <c r="B37">
        <v>1.1539999999999999</v>
      </c>
      <c r="C37">
        <f t="shared" si="0"/>
        <v>1</v>
      </c>
      <c r="D37">
        <f t="shared" si="1"/>
        <v>0</v>
      </c>
      <c r="E37">
        <f t="shared" si="2"/>
        <v>0</v>
      </c>
      <c r="F37">
        <f t="shared" si="3"/>
        <v>0</v>
      </c>
      <c r="H37" s="1">
        <v>37053.663194444445</v>
      </c>
      <c r="I37">
        <v>1</v>
      </c>
      <c r="J37">
        <v>1.5229999999999999</v>
      </c>
      <c r="K37">
        <v>1.5229999999999999</v>
      </c>
    </row>
    <row r="38" spans="1:11" x14ac:dyDescent="0.35">
      <c r="A38" s="1">
        <v>37011.638888888891</v>
      </c>
      <c r="B38">
        <v>0.76700000000000002</v>
      </c>
      <c r="C38">
        <f t="shared" si="0"/>
        <v>2</v>
      </c>
      <c r="D38">
        <f t="shared" si="1"/>
        <v>2</v>
      </c>
      <c r="E38">
        <f t="shared" si="2"/>
        <v>1.097</v>
      </c>
      <c r="F38">
        <f t="shared" si="3"/>
        <v>1.8639999999999999</v>
      </c>
      <c r="H38" s="1">
        <v>37055.652777777781</v>
      </c>
      <c r="I38">
        <v>2</v>
      </c>
      <c r="J38">
        <v>1.1919999999999999</v>
      </c>
      <c r="K38">
        <v>2.3179999999999996</v>
      </c>
    </row>
    <row r="39" spans="1:11" x14ac:dyDescent="0.35">
      <c r="A39" s="1">
        <v>37011.638888888891</v>
      </c>
      <c r="B39">
        <v>1.097</v>
      </c>
      <c r="C39">
        <f t="shared" si="0"/>
        <v>1</v>
      </c>
      <c r="D39">
        <f t="shared" si="1"/>
        <v>0</v>
      </c>
      <c r="E39">
        <f t="shared" si="2"/>
        <v>0</v>
      </c>
      <c r="F39">
        <f t="shared" si="3"/>
        <v>0</v>
      </c>
      <c r="H39" s="1">
        <v>37078.65625</v>
      </c>
      <c r="I39">
        <v>1</v>
      </c>
      <c r="J39">
        <v>0.72599999999999998</v>
      </c>
      <c r="K39">
        <v>0.72599999999999998</v>
      </c>
    </row>
    <row r="40" spans="1:11" x14ac:dyDescent="0.35">
      <c r="A40" s="1">
        <v>37016.649305555555</v>
      </c>
      <c r="B40">
        <v>0.71299999999999997</v>
      </c>
      <c r="C40">
        <f t="shared" si="0"/>
        <v>2</v>
      </c>
      <c r="D40">
        <f t="shared" si="1"/>
        <v>2</v>
      </c>
      <c r="E40">
        <f t="shared" si="2"/>
        <v>0.71299999999999997</v>
      </c>
      <c r="F40">
        <f t="shared" si="3"/>
        <v>1.4169999999999998</v>
      </c>
      <c r="H40" s="1">
        <v>37080.649305555555</v>
      </c>
      <c r="I40">
        <v>2</v>
      </c>
      <c r="J40">
        <v>2.2000000000000002</v>
      </c>
      <c r="K40">
        <v>3.8420000000000001</v>
      </c>
    </row>
    <row r="41" spans="1:11" x14ac:dyDescent="0.35">
      <c r="A41" s="1">
        <v>37016.649305555555</v>
      </c>
      <c r="B41">
        <v>0.70399999999999996</v>
      </c>
      <c r="C41">
        <f t="shared" si="0"/>
        <v>1</v>
      </c>
      <c r="D41">
        <f t="shared" si="1"/>
        <v>0</v>
      </c>
      <c r="E41">
        <f t="shared" si="2"/>
        <v>0</v>
      </c>
      <c r="F41">
        <f t="shared" si="3"/>
        <v>0</v>
      </c>
      <c r="H41" s="1">
        <v>37082.642361111109</v>
      </c>
      <c r="I41">
        <v>2</v>
      </c>
      <c r="J41">
        <v>3.8940000000000001</v>
      </c>
      <c r="K41">
        <v>6.9570000000000007</v>
      </c>
    </row>
    <row r="42" spans="1:11" x14ac:dyDescent="0.35">
      <c r="A42" s="1">
        <v>37018.642361111109</v>
      </c>
      <c r="B42">
        <v>1.425</v>
      </c>
      <c r="C42">
        <f t="shared" si="0"/>
        <v>2</v>
      </c>
      <c r="D42">
        <f t="shared" si="1"/>
        <v>2</v>
      </c>
      <c r="E42">
        <f t="shared" si="2"/>
        <v>1.837</v>
      </c>
      <c r="F42">
        <f t="shared" si="3"/>
        <v>3.262</v>
      </c>
      <c r="H42" s="1">
        <v>37087.652777777781</v>
      </c>
      <c r="I42">
        <v>2</v>
      </c>
      <c r="J42">
        <v>1.359</v>
      </c>
      <c r="K42">
        <v>2.2170000000000001</v>
      </c>
    </row>
    <row r="43" spans="1:11" x14ac:dyDescent="0.35">
      <c r="A43" s="1">
        <v>37018.642361111109</v>
      </c>
      <c r="B43">
        <v>1.837</v>
      </c>
      <c r="C43">
        <f t="shared" si="0"/>
        <v>1</v>
      </c>
      <c r="D43">
        <f t="shared" si="1"/>
        <v>0</v>
      </c>
      <c r="E43">
        <f t="shared" si="2"/>
        <v>0</v>
      </c>
      <c r="F43">
        <f t="shared" si="3"/>
        <v>0</v>
      </c>
      <c r="H43" s="1">
        <v>37089.131944444445</v>
      </c>
      <c r="I43">
        <v>2</v>
      </c>
      <c r="J43">
        <v>3.0150000000000001</v>
      </c>
      <c r="K43">
        <v>5.8570000000000002</v>
      </c>
    </row>
    <row r="44" spans="1:11" x14ac:dyDescent="0.35">
      <c r="A44" s="1">
        <v>37020.631944444445</v>
      </c>
      <c r="B44">
        <v>0.748</v>
      </c>
      <c r="C44">
        <f t="shared" si="0"/>
        <v>2</v>
      </c>
      <c r="D44">
        <f t="shared" si="1"/>
        <v>2</v>
      </c>
      <c r="E44">
        <f t="shared" si="2"/>
        <v>1.0189999999999999</v>
      </c>
      <c r="F44">
        <f t="shared" si="3"/>
        <v>1.7669999999999999</v>
      </c>
      <c r="H44" s="1">
        <v>37089.645833333336</v>
      </c>
      <c r="I44">
        <v>1</v>
      </c>
      <c r="J44">
        <v>1.9890000000000001</v>
      </c>
      <c r="K44">
        <v>1.9890000000000001</v>
      </c>
    </row>
    <row r="45" spans="1:11" x14ac:dyDescent="0.35">
      <c r="A45" s="1">
        <v>37020.631944444445</v>
      </c>
      <c r="B45">
        <v>1.0189999999999999</v>
      </c>
      <c r="C45">
        <f t="shared" si="0"/>
        <v>1</v>
      </c>
      <c r="D45">
        <f t="shared" si="1"/>
        <v>0</v>
      </c>
      <c r="E45">
        <f t="shared" si="2"/>
        <v>0</v>
      </c>
      <c r="F45">
        <f t="shared" si="3"/>
        <v>0</v>
      </c>
      <c r="H45" s="1">
        <v>37091.635416666664</v>
      </c>
      <c r="I45">
        <v>2</v>
      </c>
      <c r="J45">
        <v>2.1269999999999998</v>
      </c>
      <c r="K45">
        <v>3.2239999999999998</v>
      </c>
    </row>
    <row r="46" spans="1:11" x14ac:dyDescent="0.35">
      <c r="A46" s="1">
        <v>37021.663194444445</v>
      </c>
      <c r="B46">
        <v>0.97099999999999997</v>
      </c>
      <c r="C46">
        <f t="shared" si="0"/>
        <v>1</v>
      </c>
      <c r="D46">
        <f t="shared" si="1"/>
        <v>1</v>
      </c>
      <c r="E46">
        <f t="shared" si="2"/>
        <v>0.97099999999999997</v>
      </c>
      <c r="F46">
        <f t="shared" si="3"/>
        <v>0.97099999999999997</v>
      </c>
      <c r="H46" s="1">
        <v>37094.65625</v>
      </c>
      <c r="I46">
        <v>2</v>
      </c>
      <c r="J46">
        <v>0.98099999999999998</v>
      </c>
      <c r="K46">
        <v>1.744</v>
      </c>
    </row>
    <row r="47" spans="1:11" x14ac:dyDescent="0.35">
      <c r="A47" s="1">
        <v>37023.142361111109</v>
      </c>
      <c r="B47">
        <v>3.63</v>
      </c>
      <c r="C47">
        <f t="shared" si="0"/>
        <v>1</v>
      </c>
      <c r="D47">
        <f t="shared" si="1"/>
        <v>1</v>
      </c>
      <c r="E47">
        <f t="shared" si="2"/>
        <v>3.63</v>
      </c>
      <c r="F47">
        <f t="shared" si="3"/>
        <v>3.63</v>
      </c>
      <c r="H47" s="1">
        <v>37107.635416666664</v>
      </c>
      <c r="I47">
        <v>2</v>
      </c>
      <c r="J47">
        <v>0.89300000000000002</v>
      </c>
      <c r="K47">
        <v>1.738</v>
      </c>
    </row>
    <row r="48" spans="1:11" x14ac:dyDescent="0.35">
      <c r="A48" s="1">
        <v>37023.652777777781</v>
      </c>
      <c r="B48">
        <v>0.77</v>
      </c>
      <c r="C48">
        <f t="shared" si="0"/>
        <v>3</v>
      </c>
      <c r="D48">
        <f t="shared" si="1"/>
        <v>3</v>
      </c>
      <c r="E48">
        <f t="shared" si="2"/>
        <v>1.63</v>
      </c>
      <c r="F48">
        <f t="shared" si="3"/>
        <v>4.0299999999999994</v>
      </c>
      <c r="H48" s="1">
        <v>37109.628472222219</v>
      </c>
      <c r="I48">
        <v>1</v>
      </c>
      <c r="J48">
        <v>1.0720000000000001</v>
      </c>
      <c r="K48">
        <v>1.0720000000000001</v>
      </c>
    </row>
    <row r="49" spans="1:11" x14ac:dyDescent="0.35">
      <c r="A49" s="1">
        <v>37023.652777777781</v>
      </c>
      <c r="B49">
        <v>1.63</v>
      </c>
      <c r="C49">
        <f t="shared" si="0"/>
        <v>2</v>
      </c>
      <c r="D49">
        <f t="shared" si="1"/>
        <v>0</v>
      </c>
      <c r="E49">
        <f t="shared" si="2"/>
        <v>0</v>
      </c>
      <c r="F49">
        <f t="shared" si="3"/>
        <v>0</v>
      </c>
      <c r="H49" s="1">
        <v>37110.65625</v>
      </c>
      <c r="I49">
        <v>2</v>
      </c>
      <c r="J49">
        <v>1.661</v>
      </c>
      <c r="K49">
        <v>2.84</v>
      </c>
    </row>
    <row r="50" spans="1:11" x14ac:dyDescent="0.35">
      <c r="A50" s="1">
        <v>37023.652777777781</v>
      </c>
      <c r="B50">
        <v>1.63</v>
      </c>
      <c r="C50">
        <f t="shared" si="0"/>
        <v>1</v>
      </c>
      <c r="D50">
        <f t="shared" si="1"/>
        <v>0</v>
      </c>
      <c r="E50">
        <f t="shared" si="2"/>
        <v>0</v>
      </c>
      <c r="F50">
        <f t="shared" si="3"/>
        <v>0</v>
      </c>
      <c r="H50" s="1">
        <v>37112.649305555555</v>
      </c>
      <c r="I50">
        <v>2</v>
      </c>
      <c r="J50">
        <v>1.0780000000000001</v>
      </c>
      <c r="K50">
        <v>1.9490000000000001</v>
      </c>
    </row>
    <row r="51" spans="1:11" x14ac:dyDescent="0.35">
      <c r="A51" s="1">
        <v>37025.135416666664</v>
      </c>
      <c r="B51">
        <v>2.7450000000000001</v>
      </c>
      <c r="C51">
        <f t="shared" si="0"/>
        <v>2</v>
      </c>
      <c r="D51">
        <f t="shared" si="1"/>
        <v>2</v>
      </c>
      <c r="E51">
        <f t="shared" si="2"/>
        <v>2.8889999999999998</v>
      </c>
      <c r="F51">
        <f t="shared" si="3"/>
        <v>5.6340000000000003</v>
      </c>
      <c r="H51" s="1">
        <v>37114.638888888891</v>
      </c>
      <c r="I51">
        <v>1</v>
      </c>
      <c r="J51">
        <v>1.387</v>
      </c>
      <c r="K51">
        <v>1.387</v>
      </c>
    </row>
    <row r="52" spans="1:11" x14ac:dyDescent="0.35">
      <c r="A52" s="1">
        <v>37025.135416666664</v>
      </c>
      <c r="B52">
        <v>2.8889999999999998</v>
      </c>
      <c r="C52">
        <f t="shared" si="0"/>
        <v>1</v>
      </c>
      <c r="D52">
        <f t="shared" si="1"/>
        <v>0</v>
      </c>
      <c r="E52">
        <f t="shared" si="2"/>
        <v>0</v>
      </c>
      <c r="F52">
        <f t="shared" si="3"/>
        <v>0</v>
      </c>
      <c r="H52" s="1">
        <v>37119.652777777781</v>
      </c>
      <c r="I52">
        <v>2</v>
      </c>
      <c r="J52">
        <v>0.91800000000000004</v>
      </c>
      <c r="K52">
        <v>1.694</v>
      </c>
    </row>
    <row r="53" spans="1:11" x14ac:dyDescent="0.35">
      <c r="A53" s="1">
        <v>37025.645833333336</v>
      </c>
      <c r="B53">
        <v>1.9950000000000001</v>
      </c>
      <c r="C53">
        <f t="shared" si="0"/>
        <v>2</v>
      </c>
      <c r="D53">
        <f t="shared" si="1"/>
        <v>2</v>
      </c>
      <c r="E53">
        <f t="shared" si="2"/>
        <v>1.9950000000000001</v>
      </c>
      <c r="F53">
        <f t="shared" si="3"/>
        <v>3.59</v>
      </c>
      <c r="H53" s="1">
        <v>37121.645833333336</v>
      </c>
      <c r="I53">
        <v>1</v>
      </c>
      <c r="J53">
        <v>0.98099999999999998</v>
      </c>
      <c r="K53">
        <v>0.98099999999999998</v>
      </c>
    </row>
    <row r="54" spans="1:11" x14ac:dyDescent="0.35">
      <c r="A54" s="1">
        <v>37025.645833333336</v>
      </c>
      <c r="B54">
        <v>1.595</v>
      </c>
      <c r="C54">
        <f t="shared" si="0"/>
        <v>1</v>
      </c>
      <c r="D54">
        <f t="shared" si="1"/>
        <v>0</v>
      </c>
      <c r="E54">
        <f t="shared" si="2"/>
        <v>0</v>
      </c>
      <c r="F54">
        <f t="shared" si="3"/>
        <v>0</v>
      </c>
      <c r="H54" s="1">
        <v>37123.635416666664</v>
      </c>
      <c r="I54">
        <v>2</v>
      </c>
      <c r="J54">
        <v>2.395</v>
      </c>
      <c r="K54">
        <v>3.4510000000000001</v>
      </c>
    </row>
    <row r="55" spans="1:11" x14ac:dyDescent="0.35">
      <c r="A55" s="1">
        <v>37027.638888888891</v>
      </c>
      <c r="B55">
        <v>1.869</v>
      </c>
      <c r="C55">
        <f t="shared" si="0"/>
        <v>1</v>
      </c>
      <c r="D55">
        <f t="shared" si="1"/>
        <v>1</v>
      </c>
      <c r="E55">
        <f t="shared" si="2"/>
        <v>1.869</v>
      </c>
      <c r="F55">
        <f t="shared" si="3"/>
        <v>1.869</v>
      </c>
      <c r="H55" s="1">
        <v>37125.628472222219</v>
      </c>
      <c r="I55">
        <v>2</v>
      </c>
      <c r="J55">
        <v>0.92700000000000005</v>
      </c>
      <c r="K55">
        <v>1.675</v>
      </c>
    </row>
    <row r="56" spans="1:11" x14ac:dyDescent="0.35">
      <c r="A56" s="1">
        <v>37032.649305555555</v>
      </c>
      <c r="B56">
        <v>1.145</v>
      </c>
      <c r="C56">
        <f t="shared" si="0"/>
        <v>3</v>
      </c>
      <c r="D56">
        <f t="shared" si="1"/>
        <v>3</v>
      </c>
      <c r="E56">
        <f t="shared" si="2"/>
        <v>1.869</v>
      </c>
      <c r="F56">
        <f t="shared" si="3"/>
        <v>4.8330000000000002</v>
      </c>
      <c r="H56" s="1">
        <v>37126.145833333336</v>
      </c>
      <c r="I56">
        <v>2</v>
      </c>
      <c r="J56">
        <v>4.0389999999999997</v>
      </c>
      <c r="K56">
        <v>7.1489999999999991</v>
      </c>
    </row>
    <row r="57" spans="1:11" x14ac:dyDescent="0.35">
      <c r="A57" s="1">
        <v>37032.649305555555</v>
      </c>
      <c r="B57">
        <v>1.869</v>
      </c>
      <c r="C57">
        <f t="shared" si="0"/>
        <v>2</v>
      </c>
      <c r="D57">
        <f t="shared" si="1"/>
        <v>0</v>
      </c>
      <c r="E57">
        <f t="shared" si="2"/>
        <v>0</v>
      </c>
      <c r="F57">
        <f t="shared" si="3"/>
        <v>0</v>
      </c>
      <c r="H57" s="1">
        <v>37128.135416666664</v>
      </c>
      <c r="I57">
        <v>1</v>
      </c>
      <c r="J57">
        <v>3.0059999999999998</v>
      </c>
      <c r="K57">
        <v>3.0059999999999998</v>
      </c>
    </row>
    <row r="58" spans="1:11" x14ac:dyDescent="0.35">
      <c r="A58" s="1">
        <v>37032.649305555555</v>
      </c>
      <c r="B58">
        <v>1.819</v>
      </c>
      <c r="C58">
        <f t="shared" si="0"/>
        <v>1</v>
      </c>
      <c r="D58">
        <f t="shared" si="1"/>
        <v>0</v>
      </c>
      <c r="E58">
        <f t="shared" si="2"/>
        <v>0</v>
      </c>
      <c r="F58">
        <f t="shared" si="3"/>
        <v>0</v>
      </c>
      <c r="H58" s="1">
        <v>37128.649305555555</v>
      </c>
      <c r="I58">
        <v>1</v>
      </c>
      <c r="J58">
        <v>1.113</v>
      </c>
      <c r="K58">
        <v>1.113</v>
      </c>
    </row>
    <row r="59" spans="1:11" x14ac:dyDescent="0.35">
      <c r="A59" s="1">
        <v>37034.642361111109</v>
      </c>
      <c r="B59">
        <v>2.0609999999999999</v>
      </c>
      <c r="C59">
        <f t="shared" si="0"/>
        <v>3</v>
      </c>
      <c r="D59">
        <f t="shared" si="1"/>
        <v>3</v>
      </c>
      <c r="E59">
        <f t="shared" si="2"/>
        <v>2.0609999999999999</v>
      </c>
      <c r="F59">
        <f t="shared" si="3"/>
        <v>5.3959999999999999</v>
      </c>
      <c r="H59" s="1">
        <v>37132.631944444445</v>
      </c>
      <c r="I59">
        <v>2</v>
      </c>
      <c r="J59">
        <v>1.1859999999999999</v>
      </c>
      <c r="K59">
        <v>2.0030000000000001</v>
      </c>
    </row>
    <row r="60" spans="1:11" x14ac:dyDescent="0.35">
      <c r="A60" s="1">
        <v>37034.642361111109</v>
      </c>
      <c r="B60">
        <v>1.6080000000000001</v>
      </c>
      <c r="C60">
        <f t="shared" si="0"/>
        <v>2</v>
      </c>
      <c r="D60">
        <f t="shared" si="1"/>
        <v>0</v>
      </c>
      <c r="E60">
        <f t="shared" si="2"/>
        <v>0</v>
      </c>
      <c r="F60">
        <f t="shared" si="3"/>
        <v>0</v>
      </c>
      <c r="H60" s="1">
        <v>37133.659722222219</v>
      </c>
      <c r="I60">
        <v>1</v>
      </c>
      <c r="J60">
        <v>1.05</v>
      </c>
      <c r="K60">
        <v>1.05</v>
      </c>
    </row>
    <row r="61" spans="1:11" x14ac:dyDescent="0.35">
      <c r="A61" s="1">
        <v>37034.642361111109</v>
      </c>
      <c r="B61">
        <v>1.7270000000000001</v>
      </c>
      <c r="C61">
        <f t="shared" si="0"/>
        <v>1</v>
      </c>
      <c r="D61">
        <f t="shared" si="1"/>
        <v>0</v>
      </c>
      <c r="E61">
        <f t="shared" si="2"/>
        <v>0</v>
      </c>
      <c r="F61">
        <f t="shared" si="3"/>
        <v>0</v>
      </c>
      <c r="H61" s="1">
        <v>37135.138888888891</v>
      </c>
      <c r="I61">
        <v>1</v>
      </c>
      <c r="J61">
        <v>2.8639999999999999</v>
      </c>
      <c r="K61">
        <v>2.8639999999999999</v>
      </c>
    </row>
    <row r="62" spans="1:11" x14ac:dyDescent="0.35">
      <c r="A62" s="1">
        <v>37037.663194444445</v>
      </c>
      <c r="B62">
        <v>0.84499999999999997</v>
      </c>
      <c r="C62">
        <f t="shared" si="0"/>
        <v>4</v>
      </c>
      <c r="D62">
        <f t="shared" si="1"/>
        <v>4</v>
      </c>
      <c r="E62">
        <f t="shared" si="2"/>
        <v>1.4970000000000001</v>
      </c>
      <c r="F62">
        <f t="shared" si="3"/>
        <v>4.1929999999999996</v>
      </c>
      <c r="H62" s="1">
        <v>37135.652777777781</v>
      </c>
      <c r="I62">
        <v>1</v>
      </c>
      <c r="J62">
        <v>1.0720000000000001</v>
      </c>
      <c r="K62">
        <v>1.0720000000000001</v>
      </c>
    </row>
    <row r="63" spans="1:11" x14ac:dyDescent="0.35">
      <c r="A63" s="1">
        <v>37037.663194444445</v>
      </c>
      <c r="B63">
        <v>0.69699999999999995</v>
      </c>
      <c r="C63">
        <f t="shared" si="0"/>
        <v>3</v>
      </c>
      <c r="D63">
        <f t="shared" si="1"/>
        <v>0</v>
      </c>
      <c r="E63">
        <f t="shared" si="2"/>
        <v>0</v>
      </c>
      <c r="F63">
        <f t="shared" si="3"/>
        <v>0</v>
      </c>
      <c r="H63" s="1">
        <v>37137.131944444445</v>
      </c>
      <c r="I63">
        <v>1</v>
      </c>
      <c r="J63">
        <v>3.0939999999999999</v>
      </c>
      <c r="K63">
        <v>3.0939999999999999</v>
      </c>
    </row>
    <row r="64" spans="1:11" x14ac:dyDescent="0.35">
      <c r="A64" s="1">
        <v>37037.663194444445</v>
      </c>
      <c r="B64">
        <v>1.4970000000000001</v>
      </c>
      <c r="C64">
        <f t="shared" si="0"/>
        <v>2</v>
      </c>
      <c r="D64">
        <f t="shared" si="1"/>
        <v>0</v>
      </c>
      <c r="E64">
        <f t="shared" si="2"/>
        <v>0</v>
      </c>
      <c r="F64">
        <f t="shared" si="3"/>
        <v>0</v>
      </c>
      <c r="H64" s="1">
        <v>37137.642361111109</v>
      </c>
      <c r="I64">
        <v>1</v>
      </c>
      <c r="J64">
        <v>0.97099999999999997</v>
      </c>
      <c r="K64">
        <v>0.97099999999999997</v>
      </c>
    </row>
    <row r="65" spans="1:11" x14ac:dyDescent="0.35">
      <c r="A65" s="1">
        <v>37037.663194444445</v>
      </c>
      <c r="B65">
        <v>1.1539999999999999</v>
      </c>
      <c r="C65">
        <f t="shared" si="0"/>
        <v>1</v>
      </c>
      <c r="D65">
        <f t="shared" si="1"/>
        <v>0</v>
      </c>
      <c r="E65">
        <f t="shared" si="2"/>
        <v>0</v>
      </c>
      <c r="F65">
        <f t="shared" si="3"/>
        <v>0</v>
      </c>
      <c r="H65" s="1">
        <v>37139.635416666664</v>
      </c>
      <c r="I65">
        <v>3</v>
      </c>
      <c r="J65">
        <v>2.7730000000000001</v>
      </c>
      <c r="K65">
        <v>4.7569999999999997</v>
      </c>
    </row>
    <row r="66" spans="1:11" x14ac:dyDescent="0.35">
      <c r="A66" s="1">
        <v>37039.652777777781</v>
      </c>
      <c r="B66">
        <v>1.8819999999999999</v>
      </c>
      <c r="C66">
        <f t="shared" si="0"/>
        <v>4</v>
      </c>
      <c r="D66">
        <f t="shared" si="1"/>
        <v>4</v>
      </c>
      <c r="E66">
        <f t="shared" si="2"/>
        <v>1.8819999999999999</v>
      </c>
      <c r="F66">
        <f t="shared" si="3"/>
        <v>5.5830000000000002</v>
      </c>
      <c r="H66" s="1">
        <v>37144.135416666664</v>
      </c>
      <c r="I66">
        <v>1</v>
      </c>
      <c r="J66">
        <v>2.76</v>
      </c>
      <c r="K66">
        <v>2.76</v>
      </c>
    </row>
    <row r="67" spans="1:11" x14ac:dyDescent="0.35">
      <c r="A67" s="1">
        <v>37039.652777777781</v>
      </c>
      <c r="B67">
        <v>1.6259999999999999</v>
      </c>
      <c r="C67">
        <f t="shared" ref="C67:C130" si="4">IF(A67=A68,IF(A67=A69,IF(A67=A70,IF(A67=A71,IF(A67=A72,IF(A67=A73,IF(A67=A74,IF(A67=A75,9,8),7),6),5),4),3),2),1)</f>
        <v>3</v>
      </c>
      <c r="D67">
        <f t="shared" ref="D67:D130" si="5">IF(C66&gt;1,0,C67)</f>
        <v>0</v>
      </c>
      <c r="E67">
        <f t="shared" ref="E67:E130" si="6">IF(D67=1,B67,IF(D67=2,MAX(B67:B68),IF(D67=3,MAX(B67:B69),IF(D67=4,MAX(B67:B70),IF(D67=5,MAX(B67:B71),IF(D67=6,MAX(B67:B72),IF(D67=7,MAX(B67:B73),IF(D67=3,MAX(B67:B74),IF(D67=9,MAX(B67:B75),0)))))))))</f>
        <v>0</v>
      </c>
      <c r="F67">
        <f t="shared" ref="F67:F130" si="7">IF(D67=1,B67,IF(D67=2,SUM(B67:B68),IF(D67=3,SUM(B67:B69),IF(D67=4,SUM(B67:B70),IF(D67=5,SUM(B67:B71),IF(D67=6,SUM(B67:B72),IF(D67=7,SUM(B67:B73),IF(D67=8,SUM(B67:B74),IF(D67=9,SUM(B67:B75),0)))))))))</f>
        <v>0</v>
      </c>
      <c r="H67" s="1">
        <v>37144.649305555555</v>
      </c>
      <c r="I67">
        <v>2</v>
      </c>
      <c r="J67">
        <v>1.2549999999999999</v>
      </c>
      <c r="K67">
        <v>2.3929999999999998</v>
      </c>
    </row>
    <row r="68" spans="1:11" x14ac:dyDescent="0.35">
      <c r="A68" s="1">
        <v>37039.652777777781</v>
      </c>
      <c r="B68">
        <v>1.1160000000000001</v>
      </c>
      <c r="C68">
        <f t="shared" si="4"/>
        <v>2</v>
      </c>
      <c r="D68">
        <f t="shared" si="5"/>
        <v>0</v>
      </c>
      <c r="E68">
        <f t="shared" si="6"/>
        <v>0</v>
      </c>
      <c r="F68">
        <f t="shared" si="7"/>
        <v>0</v>
      </c>
      <c r="H68" s="1">
        <v>37151.652777777781</v>
      </c>
      <c r="I68">
        <v>1</v>
      </c>
      <c r="J68">
        <v>1.3149999999999999</v>
      </c>
      <c r="K68">
        <v>1.3149999999999999</v>
      </c>
    </row>
    <row r="69" spans="1:11" x14ac:dyDescent="0.35">
      <c r="A69" s="1">
        <v>37039.652777777781</v>
      </c>
      <c r="B69">
        <v>0.95899999999999996</v>
      </c>
      <c r="C69">
        <f t="shared" si="4"/>
        <v>1</v>
      </c>
      <c r="D69">
        <f t="shared" si="5"/>
        <v>0</v>
      </c>
      <c r="E69">
        <f t="shared" si="6"/>
        <v>0</v>
      </c>
      <c r="F69">
        <f t="shared" si="7"/>
        <v>0</v>
      </c>
      <c r="H69" s="1">
        <v>37153.131944444445</v>
      </c>
      <c r="I69">
        <v>1</v>
      </c>
      <c r="J69">
        <v>4.4329999999999998</v>
      </c>
      <c r="K69">
        <v>4.4329999999999998</v>
      </c>
    </row>
    <row r="70" spans="1:11" x14ac:dyDescent="0.35">
      <c r="A70" s="1">
        <v>37041.645833333336</v>
      </c>
      <c r="B70">
        <v>1.9350000000000001</v>
      </c>
      <c r="C70">
        <f t="shared" si="4"/>
        <v>3</v>
      </c>
      <c r="D70">
        <f t="shared" si="5"/>
        <v>3</v>
      </c>
      <c r="E70">
        <f t="shared" si="6"/>
        <v>3.875</v>
      </c>
      <c r="F70">
        <f t="shared" si="7"/>
        <v>6.7439999999999998</v>
      </c>
      <c r="H70" s="1">
        <v>37153.642361111109</v>
      </c>
      <c r="I70">
        <v>2</v>
      </c>
      <c r="J70">
        <v>1.2709999999999999</v>
      </c>
      <c r="K70">
        <v>2.0469999999999997</v>
      </c>
    </row>
    <row r="71" spans="1:11" x14ac:dyDescent="0.35">
      <c r="A71" s="1">
        <v>37041.645833333336</v>
      </c>
      <c r="B71">
        <v>0.93400000000000005</v>
      </c>
      <c r="C71">
        <f t="shared" si="4"/>
        <v>2</v>
      </c>
      <c r="D71">
        <f t="shared" si="5"/>
        <v>0</v>
      </c>
      <c r="E71">
        <f t="shared" si="6"/>
        <v>0</v>
      </c>
      <c r="F71">
        <f t="shared" si="7"/>
        <v>0</v>
      </c>
      <c r="H71" s="1">
        <v>37155.635416666664</v>
      </c>
      <c r="I71">
        <v>2</v>
      </c>
      <c r="J71">
        <v>1.7649999999999999</v>
      </c>
      <c r="K71">
        <v>3.4829999999999997</v>
      </c>
    </row>
    <row r="72" spans="1:11" x14ac:dyDescent="0.35">
      <c r="A72" s="1">
        <v>37041.645833333336</v>
      </c>
      <c r="B72">
        <v>3.875</v>
      </c>
      <c r="C72">
        <f t="shared" si="4"/>
        <v>1</v>
      </c>
      <c r="D72">
        <f t="shared" si="5"/>
        <v>0</v>
      </c>
      <c r="E72">
        <f t="shared" si="6"/>
        <v>0</v>
      </c>
      <c r="F72">
        <f t="shared" si="7"/>
        <v>0</v>
      </c>
      <c r="H72" s="1">
        <v>37156.663194444445</v>
      </c>
      <c r="I72">
        <v>2</v>
      </c>
      <c r="J72">
        <v>1.06</v>
      </c>
      <c r="K72">
        <v>2.085</v>
      </c>
    </row>
    <row r="73" spans="1:11" x14ac:dyDescent="0.35">
      <c r="A73" s="1">
        <v>37048.649305555555</v>
      </c>
      <c r="B73">
        <v>1.387</v>
      </c>
      <c r="C73">
        <f t="shared" si="4"/>
        <v>1</v>
      </c>
      <c r="D73">
        <f t="shared" si="5"/>
        <v>1</v>
      </c>
      <c r="E73">
        <f t="shared" si="6"/>
        <v>1.387</v>
      </c>
      <c r="F73">
        <f t="shared" si="7"/>
        <v>1.387</v>
      </c>
      <c r="H73" s="1">
        <v>37158.145833333336</v>
      </c>
      <c r="I73">
        <v>1</v>
      </c>
      <c r="J73">
        <v>3.198</v>
      </c>
      <c r="K73">
        <v>3.198</v>
      </c>
    </row>
    <row r="74" spans="1:11" x14ac:dyDescent="0.35">
      <c r="A74" s="1">
        <v>37053.663194444445</v>
      </c>
      <c r="B74">
        <v>1.5229999999999999</v>
      </c>
      <c r="C74">
        <f t="shared" si="4"/>
        <v>1</v>
      </c>
      <c r="D74">
        <f t="shared" si="5"/>
        <v>1</v>
      </c>
      <c r="E74">
        <f t="shared" si="6"/>
        <v>1.5229999999999999</v>
      </c>
      <c r="F74">
        <f t="shared" si="7"/>
        <v>1.5229999999999999</v>
      </c>
      <c r="H74" s="1">
        <v>37158.65625</v>
      </c>
      <c r="I74">
        <v>3</v>
      </c>
      <c r="J74">
        <v>1.538</v>
      </c>
      <c r="K74">
        <v>3.5440000000000005</v>
      </c>
    </row>
    <row r="75" spans="1:11" x14ac:dyDescent="0.35">
      <c r="A75" s="1">
        <v>37055.652777777781</v>
      </c>
      <c r="B75">
        <v>1.1259999999999999</v>
      </c>
      <c r="C75">
        <f t="shared" si="4"/>
        <v>2</v>
      </c>
      <c r="D75">
        <f t="shared" si="5"/>
        <v>2</v>
      </c>
      <c r="E75">
        <f t="shared" si="6"/>
        <v>1.1919999999999999</v>
      </c>
      <c r="F75">
        <f t="shared" si="7"/>
        <v>2.3179999999999996</v>
      </c>
      <c r="H75" s="1">
        <v>37173.625</v>
      </c>
      <c r="I75">
        <v>1</v>
      </c>
      <c r="J75">
        <v>0.96499999999999997</v>
      </c>
      <c r="K75">
        <v>0.96499999999999997</v>
      </c>
    </row>
    <row r="76" spans="1:11" x14ac:dyDescent="0.35">
      <c r="A76" s="1">
        <v>37055.652777777781</v>
      </c>
      <c r="B76">
        <v>1.1919999999999999</v>
      </c>
      <c r="C76">
        <f t="shared" si="4"/>
        <v>1</v>
      </c>
      <c r="D76">
        <f t="shared" si="5"/>
        <v>0</v>
      </c>
      <c r="E76">
        <f t="shared" si="6"/>
        <v>0</v>
      </c>
      <c r="F76">
        <f t="shared" si="7"/>
        <v>0</v>
      </c>
      <c r="H76" s="1">
        <v>37174.142361111109</v>
      </c>
      <c r="I76">
        <v>1</v>
      </c>
      <c r="J76">
        <v>2.593</v>
      </c>
      <c r="K76">
        <v>2.593</v>
      </c>
    </row>
    <row r="77" spans="1:11" x14ac:dyDescent="0.35">
      <c r="A77" s="1">
        <v>37078.65625</v>
      </c>
      <c r="B77">
        <v>0.72599999999999998</v>
      </c>
      <c r="C77">
        <f t="shared" si="4"/>
        <v>1</v>
      </c>
      <c r="D77">
        <f t="shared" si="5"/>
        <v>1</v>
      </c>
      <c r="E77">
        <f t="shared" si="6"/>
        <v>0.72599999999999998</v>
      </c>
      <c r="F77">
        <f t="shared" si="7"/>
        <v>0.72599999999999998</v>
      </c>
      <c r="H77" s="1">
        <v>37174.65625</v>
      </c>
      <c r="I77">
        <v>1</v>
      </c>
      <c r="J77">
        <v>0.35399999999999998</v>
      </c>
      <c r="K77">
        <v>0.35399999999999998</v>
      </c>
    </row>
    <row r="78" spans="1:11" x14ac:dyDescent="0.35">
      <c r="A78" s="1">
        <v>37080.649305555555</v>
      </c>
      <c r="B78">
        <v>1.6419999999999999</v>
      </c>
      <c r="C78">
        <f t="shared" si="4"/>
        <v>2</v>
      </c>
      <c r="D78">
        <f t="shared" si="5"/>
        <v>2</v>
      </c>
      <c r="E78">
        <f t="shared" si="6"/>
        <v>2.2000000000000002</v>
      </c>
      <c r="F78">
        <f t="shared" si="7"/>
        <v>3.8420000000000001</v>
      </c>
      <c r="H78" s="1">
        <v>37176.135416666664</v>
      </c>
      <c r="I78">
        <v>2</v>
      </c>
      <c r="J78">
        <v>4.5149999999999997</v>
      </c>
      <c r="K78">
        <v>7.5429999999999993</v>
      </c>
    </row>
    <row r="79" spans="1:11" x14ac:dyDescent="0.35">
      <c r="A79" s="1">
        <v>37080.649305555555</v>
      </c>
      <c r="B79">
        <v>2.2000000000000002</v>
      </c>
      <c r="C79">
        <f t="shared" si="4"/>
        <v>1</v>
      </c>
      <c r="D79">
        <f t="shared" si="5"/>
        <v>0</v>
      </c>
      <c r="E79">
        <f t="shared" si="6"/>
        <v>0</v>
      </c>
      <c r="F79">
        <f t="shared" si="7"/>
        <v>0</v>
      </c>
      <c r="H79" s="1">
        <v>37176.645833333336</v>
      </c>
      <c r="I79">
        <v>2</v>
      </c>
      <c r="J79">
        <v>1.5229999999999999</v>
      </c>
      <c r="K79">
        <v>2.46</v>
      </c>
    </row>
    <row r="80" spans="1:11" x14ac:dyDescent="0.35">
      <c r="A80" s="1">
        <v>37082.642361111109</v>
      </c>
      <c r="B80">
        <v>3.0630000000000002</v>
      </c>
      <c r="C80">
        <f t="shared" si="4"/>
        <v>2</v>
      </c>
      <c r="D80">
        <f t="shared" si="5"/>
        <v>2</v>
      </c>
      <c r="E80">
        <f t="shared" si="6"/>
        <v>3.8940000000000001</v>
      </c>
      <c r="F80">
        <f t="shared" si="7"/>
        <v>6.9570000000000007</v>
      </c>
      <c r="H80" s="1">
        <v>37180.631944444445</v>
      </c>
      <c r="I80">
        <v>1</v>
      </c>
      <c r="J80">
        <v>2.4169999999999998</v>
      </c>
      <c r="K80">
        <v>2.4169999999999998</v>
      </c>
    </row>
    <row r="81" spans="1:11" x14ac:dyDescent="0.35">
      <c r="A81" s="1">
        <v>37082.642361111109</v>
      </c>
      <c r="B81">
        <v>3.8940000000000001</v>
      </c>
      <c r="C81">
        <f t="shared" si="4"/>
        <v>1</v>
      </c>
      <c r="D81">
        <f t="shared" si="5"/>
        <v>0</v>
      </c>
      <c r="E81">
        <f t="shared" si="6"/>
        <v>0</v>
      </c>
      <c r="F81">
        <f t="shared" si="7"/>
        <v>0</v>
      </c>
      <c r="H81" s="1">
        <v>37187.635416666664</v>
      </c>
      <c r="I81">
        <v>2</v>
      </c>
      <c r="J81">
        <v>1.5349999999999999</v>
      </c>
      <c r="K81">
        <v>2.9089999999999998</v>
      </c>
    </row>
    <row r="82" spans="1:11" x14ac:dyDescent="0.35">
      <c r="A82" s="1">
        <v>37087.652777777781</v>
      </c>
      <c r="B82">
        <v>1.359</v>
      </c>
      <c r="C82">
        <f t="shared" si="4"/>
        <v>2</v>
      </c>
      <c r="D82">
        <f t="shared" si="5"/>
        <v>2</v>
      </c>
      <c r="E82">
        <f t="shared" si="6"/>
        <v>1.359</v>
      </c>
      <c r="F82">
        <f t="shared" si="7"/>
        <v>2.2170000000000001</v>
      </c>
      <c r="H82" s="1">
        <v>37192.645833333336</v>
      </c>
      <c r="I82">
        <v>2</v>
      </c>
      <c r="J82">
        <v>1.17</v>
      </c>
      <c r="K82">
        <v>2.1789999999999998</v>
      </c>
    </row>
    <row r="83" spans="1:11" x14ac:dyDescent="0.35">
      <c r="A83" s="1">
        <v>37087.652777777781</v>
      </c>
      <c r="B83">
        <v>0.85799999999999998</v>
      </c>
      <c r="C83">
        <f t="shared" si="4"/>
        <v>1</v>
      </c>
      <c r="D83">
        <f t="shared" si="5"/>
        <v>0</v>
      </c>
      <c r="E83">
        <f t="shared" si="6"/>
        <v>0</v>
      </c>
      <c r="F83">
        <f t="shared" si="7"/>
        <v>0</v>
      </c>
      <c r="H83" s="1">
        <v>37204.663194444445</v>
      </c>
      <c r="I83">
        <v>2</v>
      </c>
      <c r="J83">
        <v>0.78600000000000003</v>
      </c>
      <c r="K83">
        <v>1.5209999999999999</v>
      </c>
    </row>
    <row r="84" spans="1:11" x14ac:dyDescent="0.35">
      <c r="A84" s="1">
        <v>37089.131944444445</v>
      </c>
      <c r="B84">
        <v>2.8420000000000001</v>
      </c>
      <c r="C84">
        <f t="shared" si="4"/>
        <v>2</v>
      </c>
      <c r="D84">
        <f t="shared" si="5"/>
        <v>2</v>
      </c>
      <c r="E84">
        <f t="shared" si="6"/>
        <v>3.0150000000000001</v>
      </c>
      <c r="F84">
        <f t="shared" si="7"/>
        <v>5.8570000000000002</v>
      </c>
      <c r="H84" s="1">
        <v>37206.65625</v>
      </c>
      <c r="I84">
        <v>3</v>
      </c>
      <c r="J84">
        <v>1.8819999999999999</v>
      </c>
      <c r="K84">
        <v>4.4289999999999994</v>
      </c>
    </row>
    <row r="85" spans="1:11" x14ac:dyDescent="0.35">
      <c r="A85" s="1">
        <v>37089.131944444445</v>
      </c>
      <c r="B85">
        <v>3.0150000000000001</v>
      </c>
      <c r="C85">
        <f t="shared" si="4"/>
        <v>1</v>
      </c>
      <c r="D85">
        <f t="shared" si="5"/>
        <v>0</v>
      </c>
      <c r="E85">
        <f t="shared" si="6"/>
        <v>0</v>
      </c>
      <c r="F85">
        <f t="shared" si="7"/>
        <v>0</v>
      </c>
      <c r="H85" s="1">
        <v>37208.645833333336</v>
      </c>
      <c r="I85">
        <v>1</v>
      </c>
      <c r="J85">
        <v>0.82299999999999995</v>
      </c>
      <c r="K85">
        <v>0.82299999999999995</v>
      </c>
    </row>
    <row r="86" spans="1:11" x14ac:dyDescent="0.35">
      <c r="A86" s="1">
        <v>37089.645833333336</v>
      </c>
      <c r="B86">
        <v>1.9890000000000001</v>
      </c>
      <c r="C86">
        <f t="shared" si="4"/>
        <v>1</v>
      </c>
      <c r="D86">
        <f t="shared" si="5"/>
        <v>1</v>
      </c>
      <c r="E86">
        <f t="shared" si="6"/>
        <v>1.9890000000000001</v>
      </c>
      <c r="F86">
        <f t="shared" si="7"/>
        <v>1.9890000000000001</v>
      </c>
      <c r="H86" s="1">
        <v>37219.635416666664</v>
      </c>
      <c r="I86">
        <v>1</v>
      </c>
      <c r="J86">
        <v>0.38600000000000001</v>
      </c>
      <c r="K86">
        <v>0.38600000000000001</v>
      </c>
    </row>
    <row r="87" spans="1:11" x14ac:dyDescent="0.35">
      <c r="A87" s="1">
        <v>37091.635416666664</v>
      </c>
      <c r="B87">
        <v>2.1269999999999998</v>
      </c>
      <c r="C87">
        <f t="shared" si="4"/>
        <v>2</v>
      </c>
      <c r="D87">
        <f t="shared" si="5"/>
        <v>2</v>
      </c>
      <c r="E87">
        <f t="shared" si="6"/>
        <v>2.1269999999999998</v>
      </c>
      <c r="F87">
        <f t="shared" si="7"/>
        <v>3.2239999999999998</v>
      </c>
      <c r="H87" s="1">
        <v>37222.65625</v>
      </c>
      <c r="I87">
        <v>1</v>
      </c>
      <c r="J87">
        <v>1.57</v>
      </c>
      <c r="K87">
        <v>1.57</v>
      </c>
    </row>
    <row r="88" spans="1:11" x14ac:dyDescent="0.35">
      <c r="A88" s="1">
        <v>37091.635416666664</v>
      </c>
      <c r="B88">
        <v>1.097</v>
      </c>
      <c r="C88">
        <f t="shared" si="4"/>
        <v>1</v>
      </c>
      <c r="D88">
        <f t="shared" si="5"/>
        <v>0</v>
      </c>
      <c r="E88">
        <f t="shared" si="6"/>
        <v>0</v>
      </c>
      <c r="F88">
        <f t="shared" si="7"/>
        <v>0</v>
      </c>
      <c r="H88" s="1">
        <v>37224.645833333336</v>
      </c>
      <c r="I88">
        <v>2</v>
      </c>
      <c r="J88">
        <v>0.78200000000000003</v>
      </c>
      <c r="K88">
        <v>1.498</v>
      </c>
    </row>
    <row r="89" spans="1:11" x14ac:dyDescent="0.35">
      <c r="A89" s="1">
        <v>37094.65625</v>
      </c>
      <c r="B89">
        <v>0.98099999999999998</v>
      </c>
      <c r="C89">
        <f t="shared" si="4"/>
        <v>2</v>
      </c>
      <c r="D89">
        <f t="shared" si="5"/>
        <v>2</v>
      </c>
      <c r="E89">
        <f t="shared" si="6"/>
        <v>0.98099999999999998</v>
      </c>
      <c r="F89">
        <f t="shared" si="7"/>
        <v>1.744</v>
      </c>
      <c r="H89" s="1">
        <v>37233.642361111109</v>
      </c>
      <c r="I89">
        <v>2</v>
      </c>
      <c r="J89">
        <v>1.891</v>
      </c>
      <c r="K89">
        <v>3.3820000000000001</v>
      </c>
    </row>
    <row r="90" spans="1:11" x14ac:dyDescent="0.35">
      <c r="A90" s="1">
        <v>37094.65625</v>
      </c>
      <c r="B90">
        <v>0.76300000000000001</v>
      </c>
      <c r="C90">
        <f t="shared" si="4"/>
        <v>1</v>
      </c>
      <c r="D90">
        <f t="shared" si="5"/>
        <v>0</v>
      </c>
      <c r="E90">
        <f t="shared" si="6"/>
        <v>0</v>
      </c>
      <c r="F90">
        <f t="shared" si="7"/>
        <v>0</v>
      </c>
      <c r="H90" s="1">
        <v>37240.645833333336</v>
      </c>
      <c r="I90">
        <v>3</v>
      </c>
      <c r="J90">
        <v>1.8</v>
      </c>
      <c r="K90">
        <v>3.673</v>
      </c>
    </row>
    <row r="91" spans="1:11" x14ac:dyDescent="0.35">
      <c r="A91" s="1">
        <v>37107.635416666664</v>
      </c>
      <c r="B91">
        <v>0.89300000000000002</v>
      </c>
      <c r="C91">
        <f t="shared" si="4"/>
        <v>2</v>
      </c>
      <c r="D91">
        <f t="shared" si="5"/>
        <v>2</v>
      </c>
      <c r="E91">
        <f t="shared" si="6"/>
        <v>0.89300000000000002</v>
      </c>
      <c r="F91">
        <f t="shared" si="7"/>
        <v>1.738</v>
      </c>
      <c r="H91" s="1">
        <v>37242.638888888891</v>
      </c>
      <c r="I91">
        <v>1</v>
      </c>
      <c r="J91">
        <v>0.72299999999999998</v>
      </c>
      <c r="K91">
        <v>0.72299999999999998</v>
      </c>
    </row>
    <row r="92" spans="1:11" x14ac:dyDescent="0.35">
      <c r="A92" s="1">
        <v>37107.635416666664</v>
      </c>
      <c r="B92">
        <v>0.84499999999999997</v>
      </c>
      <c r="C92">
        <f t="shared" si="4"/>
        <v>1</v>
      </c>
      <c r="D92">
        <f t="shared" si="5"/>
        <v>0</v>
      </c>
      <c r="E92">
        <f t="shared" si="6"/>
        <v>0</v>
      </c>
      <c r="F92">
        <f t="shared" si="7"/>
        <v>0</v>
      </c>
      <c r="H92" s="1">
        <v>37247.649305555555</v>
      </c>
      <c r="I92">
        <v>3</v>
      </c>
      <c r="J92">
        <v>1.204</v>
      </c>
      <c r="K92">
        <v>3.181</v>
      </c>
    </row>
    <row r="93" spans="1:11" x14ac:dyDescent="0.35">
      <c r="A93" s="1">
        <v>37109.628472222219</v>
      </c>
      <c r="B93">
        <v>1.0720000000000001</v>
      </c>
      <c r="C93">
        <f t="shared" si="4"/>
        <v>1</v>
      </c>
      <c r="D93">
        <f t="shared" si="5"/>
        <v>1</v>
      </c>
      <c r="E93">
        <f t="shared" si="6"/>
        <v>1.0720000000000001</v>
      </c>
      <c r="F93">
        <f t="shared" si="7"/>
        <v>1.0720000000000001</v>
      </c>
      <c r="H93" s="1">
        <v>37253.625</v>
      </c>
      <c r="I93">
        <v>1</v>
      </c>
      <c r="J93">
        <v>0.54300000000000004</v>
      </c>
      <c r="K93">
        <v>0.54300000000000004</v>
      </c>
    </row>
    <row r="94" spans="1:11" x14ac:dyDescent="0.35">
      <c r="A94" s="1">
        <v>37110.65625</v>
      </c>
      <c r="B94">
        <v>1.661</v>
      </c>
      <c r="C94">
        <f t="shared" si="4"/>
        <v>2</v>
      </c>
      <c r="D94">
        <f t="shared" si="5"/>
        <v>2</v>
      </c>
      <c r="E94">
        <f t="shared" si="6"/>
        <v>1.661</v>
      </c>
      <c r="F94">
        <f t="shared" si="7"/>
        <v>2.84</v>
      </c>
      <c r="H94" s="1">
        <v>37258.635416666664</v>
      </c>
      <c r="I94">
        <v>1</v>
      </c>
      <c r="J94">
        <v>1.0089999999999999</v>
      </c>
      <c r="K94">
        <v>1.0089999999999999</v>
      </c>
    </row>
    <row r="95" spans="1:11" x14ac:dyDescent="0.35">
      <c r="A95" s="1">
        <v>37110.65625</v>
      </c>
      <c r="B95">
        <v>1.179</v>
      </c>
      <c r="C95">
        <f t="shared" si="4"/>
        <v>1</v>
      </c>
      <c r="D95">
        <f t="shared" si="5"/>
        <v>0</v>
      </c>
      <c r="E95">
        <f t="shared" si="6"/>
        <v>0</v>
      </c>
      <c r="F95">
        <f t="shared" si="7"/>
        <v>0</v>
      </c>
      <c r="H95" s="1">
        <v>37270.652777777781</v>
      </c>
      <c r="I95">
        <v>2</v>
      </c>
      <c r="J95">
        <v>0.89600000000000002</v>
      </c>
      <c r="K95">
        <v>1.524</v>
      </c>
    </row>
    <row r="96" spans="1:11" x14ac:dyDescent="0.35">
      <c r="A96" s="1">
        <v>37112.649305555555</v>
      </c>
      <c r="B96">
        <v>0.871</v>
      </c>
      <c r="C96">
        <f t="shared" si="4"/>
        <v>2</v>
      </c>
      <c r="D96">
        <f t="shared" si="5"/>
        <v>2</v>
      </c>
      <c r="E96">
        <f t="shared" si="6"/>
        <v>1.0780000000000001</v>
      </c>
      <c r="F96">
        <f t="shared" si="7"/>
        <v>1.9490000000000001</v>
      </c>
      <c r="H96" s="1">
        <v>37345.638888888891</v>
      </c>
      <c r="I96">
        <v>2</v>
      </c>
      <c r="J96">
        <v>1.0189999999999999</v>
      </c>
      <c r="K96">
        <v>1.5839999999999999</v>
      </c>
    </row>
    <row r="97" spans="1:11" x14ac:dyDescent="0.35">
      <c r="A97" s="1">
        <v>37112.649305555555</v>
      </c>
      <c r="B97">
        <v>1.0780000000000001</v>
      </c>
      <c r="C97">
        <f t="shared" si="4"/>
        <v>1</v>
      </c>
      <c r="D97">
        <f t="shared" si="5"/>
        <v>0</v>
      </c>
      <c r="E97">
        <f t="shared" si="6"/>
        <v>0</v>
      </c>
      <c r="F97">
        <f t="shared" si="7"/>
        <v>0</v>
      </c>
      <c r="H97" s="1">
        <v>37359.649305555555</v>
      </c>
      <c r="I97">
        <v>3</v>
      </c>
      <c r="J97">
        <v>2.5369999999999999</v>
      </c>
      <c r="K97">
        <v>5.7389999999999999</v>
      </c>
    </row>
    <row r="98" spans="1:11" x14ac:dyDescent="0.35">
      <c r="A98" s="1">
        <v>37114.638888888891</v>
      </c>
      <c r="B98">
        <v>1.387</v>
      </c>
      <c r="C98">
        <f t="shared" si="4"/>
        <v>1</v>
      </c>
      <c r="D98">
        <f t="shared" si="5"/>
        <v>1</v>
      </c>
      <c r="E98">
        <f t="shared" si="6"/>
        <v>1.387</v>
      </c>
      <c r="F98">
        <f t="shared" si="7"/>
        <v>1.387</v>
      </c>
      <c r="H98" s="1">
        <v>37370.635416666664</v>
      </c>
      <c r="I98">
        <v>1</v>
      </c>
      <c r="J98">
        <v>0.92100000000000004</v>
      </c>
      <c r="K98">
        <v>0.92100000000000004</v>
      </c>
    </row>
    <row r="99" spans="1:11" x14ac:dyDescent="0.35">
      <c r="A99" s="1">
        <v>37119.652777777781</v>
      </c>
      <c r="B99">
        <v>0.77600000000000002</v>
      </c>
      <c r="C99">
        <f t="shared" si="4"/>
        <v>2</v>
      </c>
      <c r="D99">
        <f t="shared" si="5"/>
        <v>2</v>
      </c>
      <c r="E99">
        <f t="shared" si="6"/>
        <v>0.91800000000000004</v>
      </c>
      <c r="F99">
        <f t="shared" si="7"/>
        <v>1.694</v>
      </c>
      <c r="H99" s="1">
        <v>37393.638888888891</v>
      </c>
      <c r="I99">
        <v>1</v>
      </c>
      <c r="J99">
        <v>1.5409999999999999</v>
      </c>
      <c r="K99">
        <v>1.5409999999999999</v>
      </c>
    </row>
    <row r="100" spans="1:11" x14ac:dyDescent="0.35">
      <c r="A100" s="1">
        <v>37119.652777777781</v>
      </c>
      <c r="B100">
        <v>0.91800000000000004</v>
      </c>
      <c r="C100">
        <f t="shared" si="4"/>
        <v>1</v>
      </c>
      <c r="D100">
        <f t="shared" si="5"/>
        <v>0</v>
      </c>
      <c r="E100">
        <f t="shared" si="6"/>
        <v>0</v>
      </c>
      <c r="F100">
        <f t="shared" si="7"/>
        <v>0</v>
      </c>
      <c r="H100" s="1">
        <v>37466.760416666664</v>
      </c>
      <c r="I100">
        <v>1</v>
      </c>
      <c r="J100">
        <v>0.84699999999999998</v>
      </c>
      <c r="K100">
        <v>0.84699999999999998</v>
      </c>
    </row>
    <row r="101" spans="1:11" x14ac:dyDescent="0.35">
      <c r="A101" s="1">
        <v>37121.645833333336</v>
      </c>
      <c r="B101">
        <v>0.98099999999999998</v>
      </c>
      <c r="C101">
        <f t="shared" si="4"/>
        <v>1</v>
      </c>
      <c r="D101">
        <f t="shared" si="5"/>
        <v>1</v>
      </c>
      <c r="E101">
        <f t="shared" si="6"/>
        <v>0.98099999999999998</v>
      </c>
      <c r="F101">
        <f t="shared" si="7"/>
        <v>0.98099999999999998</v>
      </c>
      <c r="H101" s="1">
        <v>37545.607638888891</v>
      </c>
      <c r="I101">
        <v>1</v>
      </c>
      <c r="J101">
        <v>0.95599999999999996</v>
      </c>
      <c r="K101">
        <v>0.95599999999999996</v>
      </c>
    </row>
    <row r="102" spans="1:11" x14ac:dyDescent="0.35">
      <c r="A102" s="1">
        <v>37123.635416666664</v>
      </c>
      <c r="B102">
        <v>2.395</v>
      </c>
      <c r="C102">
        <f t="shared" si="4"/>
        <v>2</v>
      </c>
      <c r="D102">
        <f t="shared" si="5"/>
        <v>2</v>
      </c>
      <c r="E102">
        <f t="shared" si="6"/>
        <v>2.395</v>
      </c>
      <c r="F102">
        <f t="shared" si="7"/>
        <v>3.4510000000000001</v>
      </c>
      <c r="H102" s="1">
        <v>37548.114583333336</v>
      </c>
      <c r="I102">
        <v>1</v>
      </c>
      <c r="J102">
        <v>3.8940000000000001</v>
      </c>
      <c r="K102">
        <v>3.8940000000000001</v>
      </c>
    </row>
    <row r="103" spans="1:11" x14ac:dyDescent="0.35">
      <c r="A103" s="1">
        <v>37123.635416666664</v>
      </c>
      <c r="B103">
        <v>1.056</v>
      </c>
      <c r="C103">
        <f t="shared" si="4"/>
        <v>1</v>
      </c>
      <c r="D103">
        <f t="shared" si="5"/>
        <v>0</v>
      </c>
      <c r="E103">
        <f t="shared" si="6"/>
        <v>0</v>
      </c>
      <c r="F103">
        <f t="shared" si="7"/>
        <v>0</v>
      </c>
      <c r="H103" s="1">
        <v>38851.631944444445</v>
      </c>
      <c r="I103">
        <v>2</v>
      </c>
      <c r="J103">
        <v>1.819</v>
      </c>
      <c r="K103">
        <v>3.4079999999999999</v>
      </c>
    </row>
    <row r="104" spans="1:11" x14ac:dyDescent="0.35">
      <c r="A104" s="1">
        <v>37125.628472222219</v>
      </c>
      <c r="B104">
        <v>0.748</v>
      </c>
      <c r="C104">
        <f t="shared" si="4"/>
        <v>2</v>
      </c>
      <c r="D104">
        <f t="shared" si="5"/>
        <v>2</v>
      </c>
      <c r="E104">
        <f t="shared" si="6"/>
        <v>0.92700000000000005</v>
      </c>
      <c r="F104">
        <f t="shared" si="7"/>
        <v>1.675</v>
      </c>
      <c r="H104" s="1">
        <v>38851.753472222219</v>
      </c>
      <c r="I104">
        <v>2</v>
      </c>
      <c r="J104">
        <v>2.4209999999999998</v>
      </c>
      <c r="K104">
        <v>3.3380000000000001</v>
      </c>
    </row>
    <row r="105" spans="1:11" x14ac:dyDescent="0.35">
      <c r="A105" s="1">
        <v>37125.628472222219</v>
      </c>
      <c r="B105">
        <v>0.92700000000000005</v>
      </c>
      <c r="C105">
        <f t="shared" si="4"/>
        <v>1</v>
      </c>
      <c r="D105">
        <f t="shared" si="5"/>
        <v>0</v>
      </c>
      <c r="E105">
        <f t="shared" si="6"/>
        <v>0</v>
      </c>
      <c r="F105">
        <f t="shared" si="7"/>
        <v>0</v>
      </c>
      <c r="H105" s="1">
        <v>38853.746527777781</v>
      </c>
      <c r="I105">
        <v>2</v>
      </c>
      <c r="J105">
        <v>2.13</v>
      </c>
      <c r="K105">
        <v>3.0089999999999999</v>
      </c>
    </row>
    <row r="106" spans="1:11" x14ac:dyDescent="0.35">
      <c r="A106" s="1">
        <v>37126.145833333336</v>
      </c>
      <c r="B106">
        <v>3.11</v>
      </c>
      <c r="C106">
        <f t="shared" si="4"/>
        <v>2</v>
      </c>
      <c r="D106">
        <f t="shared" si="5"/>
        <v>2</v>
      </c>
      <c r="E106">
        <f t="shared" si="6"/>
        <v>4.0389999999999997</v>
      </c>
      <c r="F106">
        <f t="shared" si="7"/>
        <v>7.1489999999999991</v>
      </c>
      <c r="H106" s="1">
        <v>38854.774305555555</v>
      </c>
      <c r="I106">
        <v>1</v>
      </c>
      <c r="J106">
        <v>0.60499999999999998</v>
      </c>
      <c r="K106">
        <v>0.60499999999999998</v>
      </c>
    </row>
    <row r="107" spans="1:11" x14ac:dyDescent="0.35">
      <c r="A107" s="1">
        <v>37126.145833333336</v>
      </c>
      <c r="B107">
        <v>4.0389999999999997</v>
      </c>
      <c r="C107">
        <f t="shared" si="4"/>
        <v>1</v>
      </c>
      <c r="D107">
        <f t="shared" si="5"/>
        <v>0</v>
      </c>
      <c r="E107">
        <f t="shared" si="6"/>
        <v>0</v>
      </c>
      <c r="F107">
        <f t="shared" si="7"/>
        <v>0</v>
      </c>
      <c r="H107" s="1">
        <v>38858.121527777781</v>
      </c>
      <c r="I107">
        <v>1</v>
      </c>
      <c r="J107">
        <v>2.9740000000000002</v>
      </c>
      <c r="K107">
        <v>2.9740000000000002</v>
      </c>
    </row>
    <row r="108" spans="1:11" x14ac:dyDescent="0.35">
      <c r="A108" s="1">
        <v>37128.135416666664</v>
      </c>
      <c r="B108">
        <v>3.0059999999999998</v>
      </c>
      <c r="C108">
        <f t="shared" si="4"/>
        <v>1</v>
      </c>
      <c r="D108">
        <f t="shared" si="5"/>
        <v>1</v>
      </c>
      <c r="E108">
        <f t="shared" si="6"/>
        <v>3.0059999999999998</v>
      </c>
      <c r="F108">
        <f t="shared" si="7"/>
        <v>3.0059999999999998</v>
      </c>
      <c r="H108" s="1">
        <v>38860.75</v>
      </c>
      <c r="I108">
        <v>3</v>
      </c>
      <c r="J108">
        <v>2.2719999999999998</v>
      </c>
      <c r="K108">
        <v>4.234</v>
      </c>
    </row>
    <row r="109" spans="1:11" x14ac:dyDescent="0.35">
      <c r="A109" s="1">
        <v>37128.649305555555</v>
      </c>
      <c r="B109">
        <v>1.113</v>
      </c>
      <c r="C109">
        <f t="shared" si="4"/>
        <v>1</v>
      </c>
      <c r="D109">
        <f t="shared" si="5"/>
        <v>1</v>
      </c>
      <c r="E109">
        <f t="shared" si="6"/>
        <v>1.113</v>
      </c>
      <c r="F109">
        <f t="shared" si="7"/>
        <v>1.113</v>
      </c>
      <c r="H109" s="1">
        <v>38861.78125</v>
      </c>
      <c r="I109">
        <v>1</v>
      </c>
      <c r="J109">
        <v>0.95799999999999996</v>
      </c>
      <c r="K109">
        <v>0.95799999999999996</v>
      </c>
    </row>
    <row r="110" spans="1:11" x14ac:dyDescent="0.35">
      <c r="A110" s="1">
        <v>37132.631944444445</v>
      </c>
      <c r="B110">
        <v>1.1859999999999999</v>
      </c>
      <c r="C110">
        <f t="shared" si="4"/>
        <v>2</v>
      </c>
      <c r="D110">
        <f t="shared" si="5"/>
        <v>2</v>
      </c>
      <c r="E110">
        <f t="shared" si="6"/>
        <v>1.1859999999999999</v>
      </c>
      <c r="F110">
        <f t="shared" si="7"/>
        <v>2.0030000000000001</v>
      </c>
      <c r="H110" s="1">
        <v>38862.743055555555</v>
      </c>
      <c r="I110">
        <v>1</v>
      </c>
      <c r="J110">
        <v>0.77100000000000002</v>
      </c>
      <c r="K110">
        <v>0.77100000000000002</v>
      </c>
    </row>
    <row r="111" spans="1:11" x14ac:dyDescent="0.35">
      <c r="A111" s="1">
        <v>37132.631944444445</v>
      </c>
      <c r="B111">
        <v>0.81699999999999995</v>
      </c>
      <c r="C111">
        <f t="shared" si="4"/>
        <v>1</v>
      </c>
      <c r="D111">
        <f t="shared" si="5"/>
        <v>0</v>
      </c>
      <c r="E111">
        <f t="shared" si="6"/>
        <v>0</v>
      </c>
      <c r="F111">
        <f t="shared" si="7"/>
        <v>0</v>
      </c>
      <c r="H111" s="1">
        <v>38863.645833333336</v>
      </c>
      <c r="I111">
        <v>2</v>
      </c>
      <c r="J111">
        <v>1.242</v>
      </c>
      <c r="K111">
        <v>2.1349999999999998</v>
      </c>
    </row>
    <row r="112" spans="1:11" x14ac:dyDescent="0.35">
      <c r="A112" s="1">
        <v>37133.659722222219</v>
      </c>
      <c r="B112">
        <v>1.05</v>
      </c>
      <c r="C112">
        <f t="shared" si="4"/>
        <v>1</v>
      </c>
      <c r="D112">
        <f t="shared" si="5"/>
        <v>1</v>
      </c>
      <c r="E112">
        <f t="shared" si="6"/>
        <v>1.05</v>
      </c>
      <c r="F112">
        <f t="shared" si="7"/>
        <v>1.05</v>
      </c>
      <c r="H112" s="1">
        <v>38863.770833333336</v>
      </c>
      <c r="I112">
        <v>2</v>
      </c>
      <c r="J112">
        <v>0.89900000000000002</v>
      </c>
      <c r="K112">
        <v>1.649</v>
      </c>
    </row>
    <row r="113" spans="1:11" x14ac:dyDescent="0.35">
      <c r="A113" s="1">
        <v>37135.138888888891</v>
      </c>
      <c r="B113">
        <v>2.8639999999999999</v>
      </c>
      <c r="C113">
        <f t="shared" si="4"/>
        <v>1</v>
      </c>
      <c r="D113">
        <f t="shared" si="5"/>
        <v>1</v>
      </c>
      <c r="E113">
        <f t="shared" si="6"/>
        <v>2.8639999999999999</v>
      </c>
      <c r="F113">
        <f t="shared" si="7"/>
        <v>2.8639999999999999</v>
      </c>
      <c r="H113" s="1">
        <v>38865.763888888891</v>
      </c>
      <c r="I113">
        <v>2</v>
      </c>
      <c r="J113">
        <v>1.589</v>
      </c>
      <c r="K113">
        <v>2.3529999999999998</v>
      </c>
    </row>
    <row r="114" spans="1:11" x14ac:dyDescent="0.35">
      <c r="A114" s="1">
        <v>37135.652777777781</v>
      </c>
      <c r="B114">
        <v>1.0720000000000001</v>
      </c>
      <c r="C114">
        <f t="shared" si="4"/>
        <v>1</v>
      </c>
      <c r="D114">
        <f t="shared" si="5"/>
        <v>1</v>
      </c>
      <c r="E114">
        <f t="shared" si="6"/>
        <v>1.0720000000000001</v>
      </c>
      <c r="F114">
        <f t="shared" si="7"/>
        <v>1.0720000000000001</v>
      </c>
      <c r="H114" s="1">
        <v>38866.725694444445</v>
      </c>
      <c r="I114">
        <v>2</v>
      </c>
      <c r="J114">
        <v>0.80600000000000005</v>
      </c>
      <c r="K114">
        <v>1.5940000000000001</v>
      </c>
    </row>
    <row r="115" spans="1:11" x14ac:dyDescent="0.35">
      <c r="A115" s="1">
        <v>37137.131944444445</v>
      </c>
      <c r="B115">
        <v>3.0939999999999999</v>
      </c>
      <c r="C115">
        <f t="shared" si="4"/>
        <v>1</v>
      </c>
      <c r="D115">
        <f t="shared" si="5"/>
        <v>1</v>
      </c>
      <c r="E115">
        <f t="shared" si="6"/>
        <v>3.0939999999999999</v>
      </c>
      <c r="F115">
        <f t="shared" si="7"/>
        <v>3.0939999999999999</v>
      </c>
      <c r="H115" s="1">
        <v>38867.118055555555</v>
      </c>
      <c r="I115">
        <v>1</v>
      </c>
      <c r="J115">
        <v>3.145</v>
      </c>
      <c r="K115">
        <v>3.145</v>
      </c>
    </row>
    <row r="116" spans="1:11" x14ac:dyDescent="0.35">
      <c r="A116" s="1">
        <v>37137.642361111109</v>
      </c>
      <c r="B116">
        <v>0.97099999999999997</v>
      </c>
      <c r="C116">
        <f t="shared" si="4"/>
        <v>1</v>
      </c>
      <c r="D116">
        <f t="shared" si="5"/>
        <v>1</v>
      </c>
      <c r="E116">
        <f t="shared" si="6"/>
        <v>0.97099999999999997</v>
      </c>
      <c r="F116">
        <f t="shared" si="7"/>
        <v>0.97099999999999997</v>
      </c>
      <c r="H116" s="1">
        <v>38867.631944444445</v>
      </c>
      <c r="I116">
        <v>2</v>
      </c>
      <c r="J116">
        <v>5.2770000000000001</v>
      </c>
      <c r="K116">
        <v>6.976</v>
      </c>
    </row>
    <row r="117" spans="1:11" x14ac:dyDescent="0.35">
      <c r="A117" s="1">
        <v>37139.635416666664</v>
      </c>
      <c r="B117">
        <v>0.89900000000000002</v>
      </c>
      <c r="C117">
        <f t="shared" si="4"/>
        <v>3</v>
      </c>
      <c r="D117">
        <f t="shared" si="5"/>
        <v>3</v>
      </c>
      <c r="E117">
        <f t="shared" si="6"/>
        <v>2.7730000000000001</v>
      </c>
      <c r="F117">
        <f t="shared" si="7"/>
        <v>4.7569999999999997</v>
      </c>
      <c r="H117" s="1">
        <v>38867.753472222219</v>
      </c>
      <c r="I117">
        <v>2</v>
      </c>
      <c r="J117">
        <v>3.0870000000000002</v>
      </c>
      <c r="K117">
        <v>4.1349999999999998</v>
      </c>
    </row>
    <row r="118" spans="1:11" x14ac:dyDescent="0.35">
      <c r="A118" s="1">
        <v>37139.635416666664</v>
      </c>
      <c r="B118">
        <v>2.7730000000000001</v>
      </c>
      <c r="C118">
        <f t="shared" si="4"/>
        <v>2</v>
      </c>
      <c r="D118">
        <f t="shared" si="5"/>
        <v>0</v>
      </c>
      <c r="E118">
        <f t="shared" si="6"/>
        <v>0</v>
      </c>
      <c r="F118">
        <f t="shared" si="7"/>
        <v>0</v>
      </c>
      <c r="H118" s="1">
        <v>38869.621527777781</v>
      </c>
      <c r="I118">
        <v>2</v>
      </c>
      <c r="J118">
        <v>3.1509999999999998</v>
      </c>
      <c r="K118">
        <v>4.1659999999999995</v>
      </c>
    </row>
    <row r="119" spans="1:11" x14ac:dyDescent="0.35">
      <c r="A119" s="1">
        <v>37139.635416666664</v>
      </c>
      <c r="B119">
        <v>1.085</v>
      </c>
      <c r="C119">
        <f t="shared" si="4"/>
        <v>1</v>
      </c>
      <c r="D119">
        <f t="shared" si="5"/>
        <v>0</v>
      </c>
      <c r="E119">
        <f t="shared" si="6"/>
        <v>0</v>
      </c>
      <c r="F119">
        <f t="shared" si="7"/>
        <v>0</v>
      </c>
      <c r="H119" s="1">
        <v>38869.746527777781</v>
      </c>
      <c r="I119">
        <v>3</v>
      </c>
      <c r="J119">
        <v>1.357</v>
      </c>
      <c r="K119">
        <v>2.6970000000000001</v>
      </c>
    </row>
    <row r="120" spans="1:11" x14ac:dyDescent="0.35">
      <c r="A120" s="1">
        <v>37144.135416666664</v>
      </c>
      <c r="B120">
        <v>2.76</v>
      </c>
      <c r="C120">
        <f t="shared" si="4"/>
        <v>1</v>
      </c>
      <c r="D120">
        <f t="shared" si="5"/>
        <v>1</v>
      </c>
      <c r="E120">
        <f t="shared" si="6"/>
        <v>2.76</v>
      </c>
      <c r="F120">
        <f t="shared" si="7"/>
        <v>2.76</v>
      </c>
      <c r="H120" s="1">
        <v>38870.652777777781</v>
      </c>
      <c r="I120">
        <v>4</v>
      </c>
      <c r="J120">
        <v>2.597</v>
      </c>
      <c r="K120">
        <v>8.4710000000000001</v>
      </c>
    </row>
    <row r="121" spans="1:11" x14ac:dyDescent="0.35">
      <c r="A121" s="1">
        <v>37144.649305555555</v>
      </c>
      <c r="B121">
        <v>1.2549999999999999</v>
      </c>
      <c r="C121">
        <f t="shared" si="4"/>
        <v>2</v>
      </c>
      <c r="D121">
        <f t="shared" si="5"/>
        <v>2</v>
      </c>
      <c r="E121">
        <f t="shared" si="6"/>
        <v>1.2549999999999999</v>
      </c>
      <c r="F121">
        <f t="shared" si="7"/>
        <v>2.3929999999999998</v>
      </c>
      <c r="H121" s="1">
        <v>38870.777777777781</v>
      </c>
      <c r="I121">
        <v>2</v>
      </c>
      <c r="J121">
        <v>1.704</v>
      </c>
      <c r="K121">
        <v>3.2649999999999997</v>
      </c>
    </row>
    <row r="122" spans="1:11" x14ac:dyDescent="0.35">
      <c r="A122" s="1">
        <v>37144.649305555555</v>
      </c>
      <c r="B122">
        <v>1.1379999999999999</v>
      </c>
      <c r="C122">
        <f t="shared" si="4"/>
        <v>1</v>
      </c>
      <c r="D122">
        <f t="shared" si="5"/>
        <v>0</v>
      </c>
      <c r="E122">
        <f t="shared" si="6"/>
        <v>0</v>
      </c>
      <c r="F122">
        <f t="shared" si="7"/>
        <v>0</v>
      </c>
      <c r="H122" s="1">
        <v>38871.614583333336</v>
      </c>
      <c r="I122">
        <v>1</v>
      </c>
      <c r="J122">
        <v>0.70699999999999996</v>
      </c>
      <c r="K122">
        <v>0.70699999999999996</v>
      </c>
    </row>
    <row r="123" spans="1:11" x14ac:dyDescent="0.35">
      <c r="A123" s="1">
        <v>37151.652777777781</v>
      </c>
      <c r="B123">
        <v>1.3149999999999999</v>
      </c>
      <c r="C123">
        <f t="shared" si="4"/>
        <v>1</v>
      </c>
      <c r="D123">
        <f t="shared" si="5"/>
        <v>1</v>
      </c>
      <c r="E123">
        <f t="shared" si="6"/>
        <v>1.3149999999999999</v>
      </c>
      <c r="F123">
        <f t="shared" si="7"/>
        <v>1.3149999999999999</v>
      </c>
      <c r="H123" s="1">
        <v>38871.736111111109</v>
      </c>
      <c r="I123">
        <v>2</v>
      </c>
      <c r="J123">
        <v>1.0900000000000001</v>
      </c>
      <c r="K123">
        <v>2.024</v>
      </c>
    </row>
    <row r="124" spans="1:11" x14ac:dyDescent="0.35">
      <c r="A124" s="1">
        <v>37153.131944444445</v>
      </c>
      <c r="B124">
        <v>4.4329999999999998</v>
      </c>
      <c r="C124">
        <f t="shared" si="4"/>
        <v>1</v>
      </c>
      <c r="D124">
        <f t="shared" si="5"/>
        <v>1</v>
      </c>
      <c r="E124">
        <f t="shared" si="6"/>
        <v>4.4329999999999998</v>
      </c>
      <c r="F124">
        <f t="shared" si="7"/>
        <v>4.4329999999999998</v>
      </c>
      <c r="H124" s="1">
        <v>38872.131944444445</v>
      </c>
      <c r="I124">
        <v>1</v>
      </c>
      <c r="J124">
        <v>4.5620000000000003</v>
      </c>
      <c r="K124">
        <v>4.5620000000000003</v>
      </c>
    </row>
    <row r="125" spans="1:11" x14ac:dyDescent="0.35">
      <c r="A125" s="1">
        <v>37153.642361111109</v>
      </c>
      <c r="B125">
        <v>1.2709999999999999</v>
      </c>
      <c r="C125">
        <f t="shared" si="4"/>
        <v>2</v>
      </c>
      <c r="D125">
        <f t="shared" si="5"/>
        <v>2</v>
      </c>
      <c r="E125">
        <f t="shared" si="6"/>
        <v>1.2709999999999999</v>
      </c>
      <c r="F125">
        <f t="shared" si="7"/>
        <v>2.0469999999999997</v>
      </c>
      <c r="H125" s="1">
        <v>38872.25</v>
      </c>
      <c r="I125">
        <v>1</v>
      </c>
      <c r="J125">
        <v>4.0720000000000001</v>
      </c>
      <c r="K125">
        <v>4.0720000000000001</v>
      </c>
    </row>
    <row r="126" spans="1:11" x14ac:dyDescent="0.35">
      <c r="A126" s="1">
        <v>37153.642361111109</v>
      </c>
      <c r="B126">
        <v>0.77600000000000002</v>
      </c>
      <c r="C126">
        <f t="shared" si="4"/>
        <v>1</v>
      </c>
      <c r="D126">
        <f t="shared" si="5"/>
        <v>0</v>
      </c>
      <c r="E126">
        <f t="shared" si="6"/>
        <v>0</v>
      </c>
      <c r="F126">
        <f t="shared" si="7"/>
        <v>0</v>
      </c>
      <c r="H126" s="1">
        <v>38872.642361111109</v>
      </c>
      <c r="I126">
        <v>2</v>
      </c>
      <c r="J126">
        <v>2.9049999999999998</v>
      </c>
      <c r="K126">
        <v>5.59</v>
      </c>
    </row>
    <row r="127" spans="1:11" x14ac:dyDescent="0.35">
      <c r="A127" s="1">
        <v>37155.635416666664</v>
      </c>
      <c r="B127">
        <v>1.718</v>
      </c>
      <c r="C127">
        <f t="shared" si="4"/>
        <v>2</v>
      </c>
      <c r="D127">
        <f t="shared" si="5"/>
        <v>2</v>
      </c>
      <c r="E127">
        <f t="shared" si="6"/>
        <v>1.7649999999999999</v>
      </c>
      <c r="F127">
        <f t="shared" si="7"/>
        <v>3.4829999999999997</v>
      </c>
      <c r="H127" s="1">
        <v>38872.767361111109</v>
      </c>
      <c r="I127">
        <v>2</v>
      </c>
      <c r="J127">
        <v>2.7090000000000001</v>
      </c>
      <c r="K127">
        <v>3.7709999999999999</v>
      </c>
    </row>
    <row r="128" spans="1:11" x14ac:dyDescent="0.35">
      <c r="A128" s="1">
        <v>37155.635416666664</v>
      </c>
      <c r="B128">
        <v>1.7649999999999999</v>
      </c>
      <c r="C128">
        <f t="shared" si="4"/>
        <v>1</v>
      </c>
      <c r="D128">
        <f t="shared" si="5"/>
        <v>0</v>
      </c>
      <c r="E128">
        <f t="shared" si="6"/>
        <v>0</v>
      </c>
      <c r="F128">
        <f t="shared" si="7"/>
        <v>0</v>
      </c>
      <c r="H128" s="1">
        <v>38873.604166666664</v>
      </c>
      <c r="I128">
        <v>1</v>
      </c>
      <c r="J128">
        <v>0.57799999999999996</v>
      </c>
      <c r="K128">
        <v>0.57799999999999996</v>
      </c>
    </row>
    <row r="129" spans="1:11" x14ac:dyDescent="0.35">
      <c r="A129" s="1">
        <v>37156.663194444445</v>
      </c>
      <c r="B129">
        <v>1.06</v>
      </c>
      <c r="C129">
        <f t="shared" si="4"/>
        <v>2</v>
      </c>
      <c r="D129">
        <f t="shared" si="5"/>
        <v>2</v>
      </c>
      <c r="E129">
        <f t="shared" si="6"/>
        <v>1.06</v>
      </c>
      <c r="F129">
        <f t="shared" si="7"/>
        <v>2.085</v>
      </c>
      <c r="H129" s="1">
        <v>38874.121527777781</v>
      </c>
      <c r="I129">
        <v>1</v>
      </c>
      <c r="J129">
        <v>7.04</v>
      </c>
      <c r="K129">
        <v>7.04</v>
      </c>
    </row>
    <row r="130" spans="1:11" x14ac:dyDescent="0.35">
      <c r="A130" s="1">
        <v>37156.663194444445</v>
      </c>
      <c r="B130">
        <v>1.0249999999999999</v>
      </c>
      <c r="C130">
        <f t="shared" si="4"/>
        <v>1</v>
      </c>
      <c r="D130">
        <f t="shared" si="5"/>
        <v>0</v>
      </c>
      <c r="E130">
        <f t="shared" si="6"/>
        <v>0</v>
      </c>
      <c r="F130">
        <f t="shared" si="7"/>
        <v>0</v>
      </c>
      <c r="H130" s="1">
        <v>38874.635416666664</v>
      </c>
      <c r="I130">
        <v>3</v>
      </c>
      <c r="J130">
        <v>4.6310000000000002</v>
      </c>
      <c r="K130">
        <v>11.260999999999999</v>
      </c>
    </row>
    <row r="131" spans="1:11" x14ac:dyDescent="0.35">
      <c r="A131" s="1">
        <v>37158.145833333336</v>
      </c>
      <c r="B131">
        <v>3.198</v>
      </c>
      <c r="C131">
        <f t="shared" ref="C131:C194" si="8">IF(A131=A132,IF(A131=A133,IF(A131=A134,IF(A131=A135,IF(A131=A136,IF(A131=A137,IF(A131=A138,IF(A131=A139,9,8),7),6),5),4),3),2),1)</f>
        <v>1</v>
      </c>
      <c r="D131">
        <f t="shared" ref="D131:D194" si="9">IF(C130&gt;1,0,C131)</f>
        <v>1</v>
      </c>
      <c r="E131">
        <f t="shared" ref="E131:E194" si="10">IF(D131=1,B131,IF(D131=2,MAX(B131:B132),IF(D131=3,MAX(B131:B133),IF(D131=4,MAX(B131:B134),IF(D131=5,MAX(B131:B135),IF(D131=6,MAX(B131:B136),IF(D131=7,MAX(B131:B137),IF(D131=3,MAX(B131:B138),IF(D131=9,MAX(B131:B139),0)))))))))</f>
        <v>3.198</v>
      </c>
      <c r="F131">
        <f t="shared" ref="F131:F194" si="11">IF(D131=1,B131,IF(D131=2,SUM(B131:B132),IF(D131=3,SUM(B131:B133),IF(D131=4,SUM(B131:B134),IF(D131=5,SUM(B131:B135),IF(D131=6,SUM(B131:B136),IF(D131=7,SUM(B131:B137),IF(D131=8,SUM(B131:B138),IF(D131=9,SUM(B131:B139),0)))))))))</f>
        <v>3.198</v>
      </c>
      <c r="H131" s="1">
        <v>38876.114583333336</v>
      </c>
      <c r="I131">
        <v>1</v>
      </c>
      <c r="J131">
        <v>2.9780000000000002</v>
      </c>
      <c r="K131">
        <v>2.9780000000000002</v>
      </c>
    </row>
    <row r="132" spans="1:11" x14ac:dyDescent="0.35">
      <c r="A132" s="1">
        <v>37158.65625</v>
      </c>
      <c r="B132">
        <v>0.83299999999999996</v>
      </c>
      <c r="C132">
        <f t="shared" si="8"/>
        <v>3</v>
      </c>
      <c r="D132">
        <f t="shared" si="9"/>
        <v>3</v>
      </c>
      <c r="E132">
        <f t="shared" si="10"/>
        <v>1.538</v>
      </c>
      <c r="F132">
        <f t="shared" si="11"/>
        <v>3.5440000000000005</v>
      </c>
      <c r="H132" s="1">
        <v>38876.625</v>
      </c>
      <c r="I132">
        <v>1</v>
      </c>
      <c r="J132">
        <v>2.4550000000000001</v>
      </c>
      <c r="K132">
        <v>2.4550000000000001</v>
      </c>
    </row>
    <row r="133" spans="1:11" x14ac:dyDescent="0.35">
      <c r="A133" s="1">
        <v>37158.65625</v>
      </c>
      <c r="B133">
        <v>1.173</v>
      </c>
      <c r="C133">
        <f t="shared" si="8"/>
        <v>2</v>
      </c>
      <c r="D133">
        <f t="shared" si="9"/>
        <v>0</v>
      </c>
      <c r="E133">
        <f t="shared" si="10"/>
        <v>0</v>
      </c>
      <c r="F133">
        <f t="shared" si="11"/>
        <v>0</v>
      </c>
      <c r="H133" s="1">
        <v>38876.75</v>
      </c>
      <c r="I133">
        <v>2</v>
      </c>
      <c r="J133">
        <v>1.641</v>
      </c>
      <c r="K133">
        <v>3.2749999999999999</v>
      </c>
    </row>
    <row r="134" spans="1:11" x14ac:dyDescent="0.35">
      <c r="A134" s="1">
        <v>37158.65625</v>
      </c>
      <c r="B134">
        <v>1.538</v>
      </c>
      <c r="C134">
        <f t="shared" si="8"/>
        <v>1</v>
      </c>
      <c r="D134">
        <f t="shared" si="9"/>
        <v>0</v>
      </c>
      <c r="E134">
        <f t="shared" si="10"/>
        <v>0</v>
      </c>
      <c r="F134">
        <f t="shared" si="11"/>
        <v>0</v>
      </c>
      <c r="H134" s="1">
        <v>38877.263888888891</v>
      </c>
      <c r="I134">
        <v>1</v>
      </c>
      <c r="J134">
        <v>3.1349999999999998</v>
      </c>
      <c r="K134">
        <v>3.1349999999999998</v>
      </c>
    </row>
    <row r="135" spans="1:11" x14ac:dyDescent="0.35">
      <c r="A135" s="1">
        <v>37173.625</v>
      </c>
      <c r="B135">
        <v>0.96499999999999997</v>
      </c>
      <c r="C135">
        <f t="shared" si="8"/>
        <v>1</v>
      </c>
      <c r="D135">
        <f t="shared" si="9"/>
        <v>1</v>
      </c>
      <c r="E135">
        <f t="shared" si="10"/>
        <v>0.96499999999999997</v>
      </c>
      <c r="F135">
        <f t="shared" si="11"/>
        <v>0.96499999999999997</v>
      </c>
      <c r="H135" s="1">
        <v>38877.65625</v>
      </c>
      <c r="I135">
        <v>1</v>
      </c>
      <c r="J135">
        <v>0.46700000000000003</v>
      </c>
      <c r="K135">
        <v>0.46700000000000003</v>
      </c>
    </row>
    <row r="136" spans="1:11" x14ac:dyDescent="0.35">
      <c r="A136" s="1">
        <v>37174.142361111109</v>
      </c>
      <c r="B136">
        <v>2.593</v>
      </c>
      <c r="C136">
        <f t="shared" si="8"/>
        <v>1</v>
      </c>
      <c r="D136">
        <f t="shared" si="9"/>
        <v>1</v>
      </c>
      <c r="E136">
        <f t="shared" si="10"/>
        <v>2.593</v>
      </c>
      <c r="F136">
        <f t="shared" si="11"/>
        <v>2.593</v>
      </c>
      <c r="H136" s="1">
        <v>38877.78125</v>
      </c>
      <c r="I136">
        <v>1</v>
      </c>
      <c r="J136">
        <v>0.84399999999999997</v>
      </c>
      <c r="K136">
        <v>0.84399999999999997</v>
      </c>
    </row>
    <row r="137" spans="1:11" x14ac:dyDescent="0.35">
      <c r="A137" s="1">
        <v>37174.65625</v>
      </c>
      <c r="B137">
        <v>0.35399999999999998</v>
      </c>
      <c r="C137">
        <f t="shared" si="8"/>
        <v>1</v>
      </c>
      <c r="D137">
        <f t="shared" si="9"/>
        <v>1</v>
      </c>
      <c r="E137">
        <f t="shared" si="10"/>
        <v>0.35399999999999998</v>
      </c>
      <c r="F137">
        <f t="shared" si="11"/>
        <v>0.35399999999999998</v>
      </c>
      <c r="H137" s="1">
        <v>38878.618055555555</v>
      </c>
      <c r="I137">
        <v>2</v>
      </c>
      <c r="J137">
        <v>1.3620000000000001</v>
      </c>
      <c r="K137">
        <v>2.677</v>
      </c>
    </row>
    <row r="138" spans="1:11" x14ac:dyDescent="0.35">
      <c r="A138" s="1">
        <v>37176.135416666664</v>
      </c>
      <c r="B138">
        <v>3.028</v>
      </c>
      <c r="C138">
        <f t="shared" si="8"/>
        <v>2</v>
      </c>
      <c r="D138">
        <f t="shared" si="9"/>
        <v>2</v>
      </c>
      <c r="E138">
        <f t="shared" si="10"/>
        <v>4.5149999999999997</v>
      </c>
      <c r="F138">
        <f t="shared" si="11"/>
        <v>7.5429999999999993</v>
      </c>
      <c r="H138" s="1">
        <v>38878.743055555555</v>
      </c>
      <c r="I138">
        <v>2</v>
      </c>
      <c r="J138">
        <v>1.288</v>
      </c>
      <c r="K138">
        <v>2.25</v>
      </c>
    </row>
    <row r="139" spans="1:11" x14ac:dyDescent="0.35">
      <c r="A139" s="1">
        <v>37176.135416666664</v>
      </c>
      <c r="B139">
        <v>4.5149999999999997</v>
      </c>
      <c r="C139">
        <f t="shared" si="8"/>
        <v>1</v>
      </c>
      <c r="D139">
        <f t="shared" si="9"/>
        <v>0</v>
      </c>
      <c r="E139">
        <f t="shared" si="10"/>
        <v>0</v>
      </c>
      <c r="F139">
        <f t="shared" si="11"/>
        <v>0</v>
      </c>
      <c r="H139" s="1">
        <v>38879.135416666664</v>
      </c>
      <c r="I139">
        <v>1</v>
      </c>
      <c r="J139">
        <v>3.3210000000000002</v>
      </c>
      <c r="K139">
        <v>3.3210000000000002</v>
      </c>
    </row>
    <row r="140" spans="1:11" x14ac:dyDescent="0.35">
      <c r="A140" s="1">
        <v>37176.645833333336</v>
      </c>
      <c r="B140">
        <v>1.5229999999999999</v>
      </c>
      <c r="C140">
        <f t="shared" si="8"/>
        <v>2</v>
      </c>
      <c r="D140">
        <f t="shared" si="9"/>
        <v>2</v>
      </c>
      <c r="E140">
        <f t="shared" si="10"/>
        <v>1.5229999999999999</v>
      </c>
      <c r="F140">
        <f t="shared" si="11"/>
        <v>2.46</v>
      </c>
      <c r="H140" s="1">
        <v>38879.645833333336</v>
      </c>
      <c r="I140">
        <v>1</v>
      </c>
      <c r="J140">
        <v>1.0029999999999999</v>
      </c>
      <c r="K140">
        <v>1.0029999999999999</v>
      </c>
    </row>
    <row r="141" spans="1:11" x14ac:dyDescent="0.35">
      <c r="A141" s="1">
        <v>37176.645833333336</v>
      </c>
      <c r="B141">
        <v>0.93700000000000006</v>
      </c>
      <c r="C141">
        <f t="shared" si="8"/>
        <v>1</v>
      </c>
      <c r="D141">
        <f t="shared" si="9"/>
        <v>0</v>
      </c>
      <c r="E141">
        <f t="shared" si="10"/>
        <v>0</v>
      </c>
      <c r="F141">
        <f t="shared" si="11"/>
        <v>0</v>
      </c>
      <c r="H141" s="1">
        <v>38882.725694444445</v>
      </c>
      <c r="I141">
        <v>2</v>
      </c>
      <c r="J141">
        <v>0.91700000000000004</v>
      </c>
      <c r="K141">
        <v>1.6950000000000001</v>
      </c>
    </row>
    <row r="142" spans="1:11" x14ac:dyDescent="0.35">
      <c r="A142" s="1">
        <v>37180.631944444445</v>
      </c>
      <c r="B142">
        <v>2.4169999999999998</v>
      </c>
      <c r="C142">
        <f t="shared" si="8"/>
        <v>1</v>
      </c>
      <c r="D142">
        <f t="shared" si="9"/>
        <v>1</v>
      </c>
      <c r="E142">
        <f t="shared" si="10"/>
        <v>2.4169999999999998</v>
      </c>
      <c r="F142">
        <f t="shared" si="11"/>
        <v>2.4169999999999998</v>
      </c>
      <c r="H142" s="1">
        <v>38883.118055555555</v>
      </c>
      <c r="I142">
        <v>1</v>
      </c>
      <c r="J142">
        <v>4.3479999999999999</v>
      </c>
      <c r="K142">
        <v>4.3479999999999999</v>
      </c>
    </row>
    <row r="143" spans="1:11" x14ac:dyDescent="0.35">
      <c r="A143" s="1">
        <v>37187.635416666664</v>
      </c>
      <c r="B143">
        <v>1.3740000000000001</v>
      </c>
      <c r="C143">
        <f t="shared" si="8"/>
        <v>2</v>
      </c>
      <c r="D143">
        <f t="shared" si="9"/>
        <v>2</v>
      </c>
      <c r="E143">
        <f t="shared" si="10"/>
        <v>1.5349999999999999</v>
      </c>
      <c r="F143">
        <f t="shared" si="11"/>
        <v>2.9089999999999998</v>
      </c>
      <c r="H143" s="1">
        <v>38883.631944444445</v>
      </c>
      <c r="I143">
        <v>2</v>
      </c>
      <c r="J143">
        <v>4.556</v>
      </c>
      <c r="K143">
        <v>6.3019999999999996</v>
      </c>
    </row>
    <row r="144" spans="1:11" x14ac:dyDescent="0.35">
      <c r="A144" s="1">
        <v>37187.635416666664</v>
      </c>
      <c r="B144">
        <v>1.5349999999999999</v>
      </c>
      <c r="C144">
        <f t="shared" si="8"/>
        <v>1</v>
      </c>
      <c r="D144">
        <f t="shared" si="9"/>
        <v>0</v>
      </c>
      <c r="E144">
        <f t="shared" si="10"/>
        <v>0</v>
      </c>
      <c r="F144">
        <f t="shared" si="11"/>
        <v>0</v>
      </c>
      <c r="H144" s="1">
        <v>38883.753472222219</v>
      </c>
      <c r="I144">
        <v>4</v>
      </c>
      <c r="J144">
        <v>3.1419999999999999</v>
      </c>
      <c r="K144">
        <v>6.1349999999999998</v>
      </c>
    </row>
    <row r="145" spans="1:11" x14ac:dyDescent="0.35">
      <c r="A145" s="1">
        <v>37192.645833333336</v>
      </c>
      <c r="B145">
        <v>1.17</v>
      </c>
      <c r="C145">
        <f t="shared" si="8"/>
        <v>2</v>
      </c>
      <c r="D145">
        <f t="shared" si="9"/>
        <v>2</v>
      </c>
      <c r="E145">
        <f t="shared" si="10"/>
        <v>1.17</v>
      </c>
      <c r="F145">
        <f t="shared" si="11"/>
        <v>2.1789999999999998</v>
      </c>
      <c r="H145" s="1">
        <v>38885.621527777781</v>
      </c>
      <c r="I145">
        <v>2</v>
      </c>
      <c r="J145">
        <v>3.16</v>
      </c>
      <c r="K145">
        <v>5.29</v>
      </c>
    </row>
    <row r="146" spans="1:11" x14ac:dyDescent="0.35">
      <c r="A146" s="1">
        <v>37192.645833333336</v>
      </c>
      <c r="B146">
        <v>1.0089999999999999</v>
      </c>
      <c r="C146">
        <f t="shared" si="8"/>
        <v>1</v>
      </c>
      <c r="D146">
        <f t="shared" si="9"/>
        <v>0</v>
      </c>
      <c r="E146">
        <f t="shared" si="10"/>
        <v>0</v>
      </c>
      <c r="F146">
        <f t="shared" si="11"/>
        <v>0</v>
      </c>
      <c r="H146" s="1">
        <v>38885.746527777781</v>
      </c>
      <c r="I146">
        <v>4</v>
      </c>
      <c r="J146">
        <v>1.093</v>
      </c>
      <c r="K146">
        <v>3.6480000000000001</v>
      </c>
    </row>
    <row r="147" spans="1:11" x14ac:dyDescent="0.35">
      <c r="A147" s="1">
        <v>37204.663194444445</v>
      </c>
      <c r="B147">
        <v>0.78600000000000003</v>
      </c>
      <c r="C147">
        <f t="shared" si="8"/>
        <v>2</v>
      </c>
      <c r="D147">
        <f t="shared" si="9"/>
        <v>2</v>
      </c>
      <c r="E147">
        <f t="shared" si="10"/>
        <v>0.78600000000000003</v>
      </c>
      <c r="F147">
        <f t="shared" si="11"/>
        <v>1.5209999999999999</v>
      </c>
      <c r="H147" s="1">
        <v>38887.614583333336</v>
      </c>
      <c r="I147">
        <v>1</v>
      </c>
      <c r="J147">
        <v>1.343</v>
      </c>
      <c r="K147">
        <v>1.343</v>
      </c>
    </row>
    <row r="148" spans="1:11" x14ac:dyDescent="0.35">
      <c r="A148" s="1">
        <v>37204.663194444445</v>
      </c>
      <c r="B148">
        <v>0.73499999999999999</v>
      </c>
      <c r="C148">
        <f t="shared" si="8"/>
        <v>1</v>
      </c>
      <c r="D148">
        <f t="shared" si="9"/>
        <v>0</v>
      </c>
      <c r="E148">
        <f t="shared" si="10"/>
        <v>0</v>
      </c>
      <c r="F148">
        <f t="shared" si="11"/>
        <v>0</v>
      </c>
      <c r="H148" s="1">
        <v>38887.739583333336</v>
      </c>
      <c r="I148">
        <v>2</v>
      </c>
      <c r="J148">
        <v>1.8080000000000001</v>
      </c>
      <c r="K148">
        <v>2.714</v>
      </c>
    </row>
    <row r="149" spans="1:11" x14ac:dyDescent="0.35">
      <c r="A149" s="1">
        <v>37206.65625</v>
      </c>
      <c r="B149">
        <v>1.0309999999999999</v>
      </c>
      <c r="C149">
        <f t="shared" si="8"/>
        <v>3</v>
      </c>
      <c r="D149">
        <f t="shared" si="9"/>
        <v>3</v>
      </c>
      <c r="E149">
        <f t="shared" si="10"/>
        <v>1.8819999999999999</v>
      </c>
      <c r="F149">
        <f t="shared" si="11"/>
        <v>4.4289999999999994</v>
      </c>
      <c r="H149" s="1">
        <v>38888.642361111109</v>
      </c>
      <c r="I149">
        <v>3</v>
      </c>
      <c r="J149">
        <v>1.34</v>
      </c>
      <c r="K149">
        <v>3.6609999999999996</v>
      </c>
    </row>
    <row r="150" spans="1:11" x14ac:dyDescent="0.35">
      <c r="A150" s="1">
        <v>37206.65625</v>
      </c>
      <c r="B150">
        <v>1.516</v>
      </c>
      <c r="C150">
        <f t="shared" si="8"/>
        <v>2</v>
      </c>
      <c r="D150">
        <f t="shared" si="9"/>
        <v>0</v>
      </c>
      <c r="E150">
        <f t="shared" si="10"/>
        <v>0</v>
      </c>
      <c r="F150">
        <f t="shared" si="11"/>
        <v>0</v>
      </c>
      <c r="H150" s="1">
        <v>38890.635416666664</v>
      </c>
      <c r="I150">
        <v>2</v>
      </c>
      <c r="J150">
        <v>4.8550000000000004</v>
      </c>
      <c r="K150">
        <v>6.9660000000000011</v>
      </c>
    </row>
    <row r="151" spans="1:11" x14ac:dyDescent="0.35">
      <c r="A151" s="1">
        <v>37206.65625</v>
      </c>
      <c r="B151">
        <v>1.8819999999999999</v>
      </c>
      <c r="C151">
        <f t="shared" si="8"/>
        <v>1</v>
      </c>
      <c r="D151">
        <f t="shared" si="9"/>
        <v>0</v>
      </c>
      <c r="E151">
        <f t="shared" si="10"/>
        <v>0</v>
      </c>
      <c r="F151">
        <f t="shared" si="11"/>
        <v>0</v>
      </c>
      <c r="H151" s="1">
        <v>38890.760416666664</v>
      </c>
      <c r="I151">
        <v>2</v>
      </c>
      <c r="J151">
        <v>3.149</v>
      </c>
      <c r="K151">
        <v>4.9050000000000002</v>
      </c>
    </row>
    <row r="152" spans="1:11" x14ac:dyDescent="0.35">
      <c r="A152" s="1">
        <v>37208.645833333336</v>
      </c>
      <c r="B152">
        <v>0.82299999999999995</v>
      </c>
      <c r="C152">
        <f t="shared" si="8"/>
        <v>1</v>
      </c>
      <c r="D152">
        <f t="shared" si="9"/>
        <v>1</v>
      </c>
      <c r="E152">
        <f t="shared" si="10"/>
        <v>0.82299999999999995</v>
      </c>
      <c r="F152">
        <f t="shared" si="11"/>
        <v>0.82299999999999995</v>
      </c>
      <c r="H152" s="1">
        <v>38892.625</v>
      </c>
      <c r="I152">
        <v>2</v>
      </c>
      <c r="J152">
        <v>1.0880000000000001</v>
      </c>
      <c r="K152">
        <v>1.8770000000000002</v>
      </c>
    </row>
    <row r="153" spans="1:11" x14ac:dyDescent="0.35">
      <c r="A153" s="1">
        <v>37219.635416666664</v>
      </c>
      <c r="B153">
        <v>0.38600000000000001</v>
      </c>
      <c r="C153">
        <f t="shared" si="8"/>
        <v>1</v>
      </c>
      <c r="D153">
        <f t="shared" si="9"/>
        <v>1</v>
      </c>
      <c r="E153">
        <f t="shared" si="10"/>
        <v>0.38600000000000001</v>
      </c>
      <c r="F153">
        <f t="shared" si="11"/>
        <v>0.38600000000000001</v>
      </c>
      <c r="H153" s="1">
        <v>38892.75</v>
      </c>
      <c r="I153">
        <v>1</v>
      </c>
      <c r="J153">
        <v>1.107</v>
      </c>
      <c r="K153">
        <v>1.107</v>
      </c>
    </row>
    <row r="154" spans="1:11" x14ac:dyDescent="0.35">
      <c r="A154" s="1">
        <v>37222.65625</v>
      </c>
      <c r="B154">
        <v>1.57</v>
      </c>
      <c r="C154">
        <f t="shared" si="8"/>
        <v>1</v>
      </c>
      <c r="D154">
        <f t="shared" si="9"/>
        <v>1</v>
      </c>
      <c r="E154">
        <f t="shared" si="10"/>
        <v>1.57</v>
      </c>
      <c r="F154">
        <f t="shared" si="11"/>
        <v>1.57</v>
      </c>
      <c r="H154" s="1">
        <v>38894.618055555555</v>
      </c>
      <c r="I154">
        <v>1</v>
      </c>
      <c r="J154">
        <v>0.98699999999999999</v>
      </c>
      <c r="K154">
        <v>0.98699999999999999</v>
      </c>
    </row>
    <row r="155" spans="1:11" x14ac:dyDescent="0.35">
      <c r="A155" s="1">
        <v>37224.645833333336</v>
      </c>
      <c r="B155">
        <v>0.78200000000000003</v>
      </c>
      <c r="C155">
        <f t="shared" si="8"/>
        <v>2</v>
      </c>
      <c r="D155">
        <f t="shared" si="9"/>
        <v>2</v>
      </c>
      <c r="E155">
        <f t="shared" si="10"/>
        <v>0.78200000000000003</v>
      </c>
      <c r="F155">
        <f t="shared" si="11"/>
        <v>1.498</v>
      </c>
      <c r="H155" s="1">
        <v>38894.743055555555</v>
      </c>
      <c r="I155">
        <v>1</v>
      </c>
      <c r="J155">
        <v>1.4990000000000001</v>
      </c>
      <c r="K155">
        <v>1.4990000000000001</v>
      </c>
    </row>
    <row r="156" spans="1:11" x14ac:dyDescent="0.35">
      <c r="A156" s="1">
        <v>37224.645833333336</v>
      </c>
      <c r="B156">
        <v>0.71599999999999997</v>
      </c>
      <c r="C156">
        <f t="shared" si="8"/>
        <v>1</v>
      </c>
      <c r="D156">
        <f t="shared" si="9"/>
        <v>0</v>
      </c>
      <c r="E156">
        <f t="shared" si="10"/>
        <v>0</v>
      </c>
      <c r="F156">
        <f t="shared" si="11"/>
        <v>0</v>
      </c>
      <c r="H156" s="1">
        <v>38895.645833333336</v>
      </c>
      <c r="I156">
        <v>2</v>
      </c>
      <c r="J156">
        <v>1.091</v>
      </c>
      <c r="K156">
        <v>2.012</v>
      </c>
    </row>
    <row r="157" spans="1:11" x14ac:dyDescent="0.35">
      <c r="A157" s="1">
        <v>37233.642361111109</v>
      </c>
      <c r="B157">
        <v>1.4910000000000001</v>
      </c>
      <c r="C157">
        <f t="shared" si="8"/>
        <v>2</v>
      </c>
      <c r="D157">
        <f t="shared" si="9"/>
        <v>2</v>
      </c>
      <c r="E157">
        <f t="shared" si="10"/>
        <v>1.891</v>
      </c>
      <c r="F157">
        <f t="shared" si="11"/>
        <v>3.3820000000000001</v>
      </c>
      <c r="H157" s="1">
        <v>38895.770833333336</v>
      </c>
      <c r="I157">
        <v>1</v>
      </c>
      <c r="J157">
        <v>0.79500000000000004</v>
      </c>
      <c r="K157">
        <v>0.79500000000000004</v>
      </c>
    </row>
    <row r="158" spans="1:11" x14ac:dyDescent="0.35">
      <c r="A158" s="1">
        <v>37233.642361111109</v>
      </c>
      <c r="B158">
        <v>1.891</v>
      </c>
      <c r="C158">
        <f t="shared" si="8"/>
        <v>1</v>
      </c>
      <c r="D158">
        <f t="shared" si="9"/>
        <v>0</v>
      </c>
      <c r="E158">
        <f t="shared" si="10"/>
        <v>0</v>
      </c>
      <c r="F158">
        <f t="shared" si="11"/>
        <v>0</v>
      </c>
      <c r="H158" s="1">
        <v>38896.607638888891</v>
      </c>
      <c r="I158">
        <v>2</v>
      </c>
      <c r="J158">
        <v>2.3730000000000002</v>
      </c>
      <c r="K158">
        <v>4.3550000000000004</v>
      </c>
    </row>
    <row r="159" spans="1:11" x14ac:dyDescent="0.35">
      <c r="A159" s="1">
        <v>37240.645833333336</v>
      </c>
      <c r="B159">
        <v>1.8</v>
      </c>
      <c r="C159">
        <f t="shared" si="8"/>
        <v>3</v>
      </c>
      <c r="D159">
        <f t="shared" si="9"/>
        <v>3</v>
      </c>
      <c r="E159">
        <f t="shared" si="10"/>
        <v>1.8</v>
      </c>
      <c r="F159">
        <f t="shared" si="11"/>
        <v>3.673</v>
      </c>
      <c r="H159" s="1">
        <v>38896.732638888891</v>
      </c>
      <c r="I159">
        <v>2</v>
      </c>
      <c r="J159">
        <v>2.452</v>
      </c>
      <c r="K159">
        <v>3.3650000000000002</v>
      </c>
    </row>
    <row r="160" spans="1:11" x14ac:dyDescent="0.35">
      <c r="A160" s="1">
        <v>37240.645833333336</v>
      </c>
      <c r="B160">
        <v>0.98699999999999999</v>
      </c>
      <c r="C160">
        <f t="shared" si="8"/>
        <v>2</v>
      </c>
      <c r="D160">
        <f t="shared" si="9"/>
        <v>0</v>
      </c>
      <c r="E160">
        <f t="shared" si="10"/>
        <v>0</v>
      </c>
      <c r="F160">
        <f t="shared" si="11"/>
        <v>0</v>
      </c>
      <c r="H160" s="1">
        <v>38897.638888888891</v>
      </c>
      <c r="I160">
        <v>2</v>
      </c>
      <c r="J160">
        <v>2.8580000000000001</v>
      </c>
      <c r="K160">
        <v>4.2010000000000005</v>
      </c>
    </row>
    <row r="161" spans="1:11" x14ac:dyDescent="0.35">
      <c r="A161" s="1">
        <v>37240.645833333336</v>
      </c>
      <c r="B161">
        <v>0.88600000000000001</v>
      </c>
      <c r="C161">
        <f t="shared" si="8"/>
        <v>1</v>
      </c>
      <c r="D161">
        <f t="shared" si="9"/>
        <v>0</v>
      </c>
      <c r="E161">
        <f t="shared" si="10"/>
        <v>0</v>
      </c>
      <c r="F161">
        <f t="shared" si="11"/>
        <v>0</v>
      </c>
      <c r="H161" s="1">
        <v>38897.763888888891</v>
      </c>
      <c r="I161">
        <v>2</v>
      </c>
      <c r="J161">
        <v>3.5579999999999998</v>
      </c>
      <c r="K161">
        <v>4.7379999999999995</v>
      </c>
    </row>
    <row r="162" spans="1:11" x14ac:dyDescent="0.35">
      <c r="A162" s="1">
        <v>37242.638888888891</v>
      </c>
      <c r="B162">
        <v>0.72299999999999998</v>
      </c>
      <c r="C162">
        <f t="shared" si="8"/>
        <v>1</v>
      </c>
      <c r="D162">
        <f t="shared" si="9"/>
        <v>1</v>
      </c>
      <c r="E162">
        <f t="shared" si="10"/>
        <v>0.72299999999999998</v>
      </c>
      <c r="F162">
        <f t="shared" si="11"/>
        <v>0.72299999999999998</v>
      </c>
      <c r="H162" s="1">
        <v>38899.631944444445</v>
      </c>
      <c r="I162">
        <v>1</v>
      </c>
      <c r="J162">
        <v>3.3239999999999998</v>
      </c>
      <c r="K162">
        <v>3.3239999999999998</v>
      </c>
    </row>
    <row r="163" spans="1:11" x14ac:dyDescent="0.35">
      <c r="A163" s="1">
        <v>37247.649305555555</v>
      </c>
      <c r="B163">
        <v>0.86699999999999999</v>
      </c>
      <c r="C163">
        <f t="shared" si="8"/>
        <v>3</v>
      </c>
      <c r="D163">
        <f t="shared" si="9"/>
        <v>3</v>
      </c>
      <c r="E163">
        <f t="shared" si="10"/>
        <v>1.204</v>
      </c>
      <c r="F163">
        <f t="shared" si="11"/>
        <v>3.181</v>
      </c>
      <c r="H163" s="1">
        <v>38899.753472222219</v>
      </c>
      <c r="I163">
        <v>3</v>
      </c>
      <c r="J163">
        <v>1.617</v>
      </c>
      <c r="K163">
        <v>3.5960000000000001</v>
      </c>
    </row>
    <row r="164" spans="1:11" x14ac:dyDescent="0.35">
      <c r="A164" s="1">
        <v>37247.649305555555</v>
      </c>
      <c r="B164">
        <v>1.1100000000000001</v>
      </c>
      <c r="C164">
        <f t="shared" si="8"/>
        <v>2</v>
      </c>
      <c r="D164">
        <f t="shared" si="9"/>
        <v>0</v>
      </c>
      <c r="E164">
        <f t="shared" si="10"/>
        <v>0</v>
      </c>
      <c r="F164">
        <f t="shared" si="11"/>
        <v>0</v>
      </c>
      <c r="H164" s="1">
        <v>38901.621527777781</v>
      </c>
      <c r="I164">
        <v>2</v>
      </c>
      <c r="J164">
        <v>1.982</v>
      </c>
      <c r="K164">
        <v>2.802</v>
      </c>
    </row>
    <row r="165" spans="1:11" x14ac:dyDescent="0.35">
      <c r="A165" s="1">
        <v>37247.649305555555</v>
      </c>
      <c r="B165">
        <v>1.204</v>
      </c>
      <c r="C165">
        <f t="shared" si="8"/>
        <v>1</v>
      </c>
      <c r="D165">
        <f t="shared" si="9"/>
        <v>0</v>
      </c>
      <c r="E165">
        <f t="shared" si="10"/>
        <v>0</v>
      </c>
      <c r="F165">
        <f t="shared" si="11"/>
        <v>0</v>
      </c>
      <c r="H165" s="1">
        <v>38901.746527777781</v>
      </c>
      <c r="I165">
        <v>3</v>
      </c>
      <c r="J165">
        <v>1.139</v>
      </c>
      <c r="K165">
        <v>2.7720000000000002</v>
      </c>
    </row>
    <row r="166" spans="1:11" x14ac:dyDescent="0.35">
      <c r="A166" s="1">
        <v>37253.625</v>
      </c>
      <c r="B166">
        <v>0.54300000000000004</v>
      </c>
      <c r="C166">
        <f t="shared" si="8"/>
        <v>1</v>
      </c>
      <c r="D166">
        <f t="shared" si="9"/>
        <v>1</v>
      </c>
      <c r="E166">
        <f t="shared" si="10"/>
        <v>0.54300000000000004</v>
      </c>
      <c r="F166">
        <f t="shared" si="11"/>
        <v>0.54300000000000004</v>
      </c>
      <c r="H166" s="1">
        <v>38903.739583333336</v>
      </c>
      <c r="I166">
        <v>3</v>
      </c>
      <c r="J166">
        <v>1.4990000000000001</v>
      </c>
      <c r="K166">
        <v>3.5609999999999999</v>
      </c>
    </row>
    <row r="167" spans="1:11" x14ac:dyDescent="0.35">
      <c r="A167" s="1">
        <v>37258.635416666664</v>
      </c>
      <c r="B167">
        <v>1.0089999999999999</v>
      </c>
      <c r="C167">
        <f t="shared" si="8"/>
        <v>1</v>
      </c>
      <c r="D167">
        <f t="shared" si="9"/>
        <v>1</v>
      </c>
      <c r="E167">
        <f t="shared" si="10"/>
        <v>1.0089999999999999</v>
      </c>
      <c r="F167">
        <f t="shared" si="11"/>
        <v>1.0089999999999999</v>
      </c>
      <c r="H167" s="1">
        <v>38904.642361111109</v>
      </c>
      <c r="I167">
        <v>1</v>
      </c>
      <c r="J167">
        <v>1.863</v>
      </c>
      <c r="K167">
        <v>1.863</v>
      </c>
    </row>
    <row r="168" spans="1:11" x14ac:dyDescent="0.35">
      <c r="A168" s="1">
        <v>37270.652777777781</v>
      </c>
      <c r="B168">
        <v>0.628</v>
      </c>
      <c r="C168">
        <f t="shared" si="8"/>
        <v>2</v>
      </c>
      <c r="D168">
        <f t="shared" si="9"/>
        <v>2</v>
      </c>
      <c r="E168">
        <f t="shared" si="10"/>
        <v>0.89600000000000002</v>
      </c>
      <c r="F168">
        <f t="shared" si="11"/>
        <v>1.524</v>
      </c>
      <c r="H168" s="1">
        <v>38905.729166666664</v>
      </c>
      <c r="I168">
        <v>1</v>
      </c>
      <c r="J168">
        <v>0.79200000000000004</v>
      </c>
      <c r="K168">
        <v>0.79200000000000004</v>
      </c>
    </row>
    <row r="169" spans="1:11" x14ac:dyDescent="0.35">
      <c r="A169" s="1">
        <v>37270.652777777781</v>
      </c>
      <c r="B169">
        <v>0.89600000000000002</v>
      </c>
      <c r="C169">
        <f t="shared" si="8"/>
        <v>1</v>
      </c>
      <c r="D169">
        <f t="shared" si="9"/>
        <v>0</v>
      </c>
      <c r="E169">
        <f t="shared" si="10"/>
        <v>0</v>
      </c>
      <c r="F169">
        <f t="shared" si="11"/>
        <v>0</v>
      </c>
      <c r="H169" s="1">
        <v>38906.121527777781</v>
      </c>
      <c r="I169">
        <v>1</v>
      </c>
      <c r="J169">
        <v>3.3180000000000001</v>
      </c>
      <c r="K169">
        <v>3.3180000000000001</v>
      </c>
    </row>
    <row r="170" spans="1:11" x14ac:dyDescent="0.35">
      <c r="A170" s="1">
        <v>37345.638888888891</v>
      </c>
      <c r="B170">
        <v>0.56499999999999995</v>
      </c>
      <c r="C170">
        <f t="shared" si="8"/>
        <v>2</v>
      </c>
      <c r="D170">
        <f t="shared" si="9"/>
        <v>2</v>
      </c>
      <c r="E170">
        <f t="shared" si="10"/>
        <v>1.0189999999999999</v>
      </c>
      <c r="F170">
        <f t="shared" si="11"/>
        <v>1.5839999999999999</v>
      </c>
      <c r="H170" s="1">
        <v>38906.635416666664</v>
      </c>
      <c r="I170">
        <v>2</v>
      </c>
      <c r="J170">
        <v>1.9350000000000001</v>
      </c>
      <c r="K170">
        <v>3.2149999999999999</v>
      </c>
    </row>
    <row r="171" spans="1:11" x14ac:dyDescent="0.35">
      <c r="A171" s="1">
        <v>37345.638888888891</v>
      </c>
      <c r="B171">
        <v>1.0189999999999999</v>
      </c>
      <c r="C171">
        <f t="shared" si="8"/>
        <v>1</v>
      </c>
      <c r="D171">
        <f t="shared" si="9"/>
        <v>0</v>
      </c>
      <c r="E171">
        <f t="shared" si="10"/>
        <v>0</v>
      </c>
      <c r="F171">
        <f t="shared" si="11"/>
        <v>0</v>
      </c>
      <c r="H171" s="1">
        <v>38906.760416666664</v>
      </c>
      <c r="I171">
        <v>3</v>
      </c>
      <c r="J171">
        <v>2.6150000000000002</v>
      </c>
      <c r="K171">
        <v>5.2</v>
      </c>
    </row>
    <row r="172" spans="1:11" x14ac:dyDescent="0.35">
      <c r="A172" s="1">
        <v>37359.649305555555</v>
      </c>
      <c r="B172">
        <v>1.028</v>
      </c>
      <c r="C172">
        <f t="shared" si="8"/>
        <v>3</v>
      </c>
      <c r="D172">
        <f t="shared" si="9"/>
        <v>3</v>
      </c>
      <c r="E172">
        <f t="shared" si="10"/>
        <v>2.5369999999999999</v>
      </c>
      <c r="F172">
        <f t="shared" si="11"/>
        <v>5.7389999999999999</v>
      </c>
      <c r="H172" s="1">
        <v>38908.625</v>
      </c>
      <c r="I172">
        <v>1</v>
      </c>
      <c r="J172">
        <v>1.4910000000000001</v>
      </c>
      <c r="K172">
        <v>1.4910000000000001</v>
      </c>
    </row>
    <row r="173" spans="1:11" x14ac:dyDescent="0.35">
      <c r="A173" s="1">
        <v>37359.649305555555</v>
      </c>
      <c r="B173">
        <v>2.5369999999999999</v>
      </c>
      <c r="C173">
        <f t="shared" si="8"/>
        <v>2</v>
      </c>
      <c r="D173">
        <f t="shared" si="9"/>
        <v>0</v>
      </c>
      <c r="E173">
        <f t="shared" si="10"/>
        <v>0</v>
      </c>
      <c r="F173">
        <f t="shared" si="11"/>
        <v>0</v>
      </c>
      <c r="H173" s="1">
        <v>38908.75</v>
      </c>
      <c r="I173">
        <v>2</v>
      </c>
      <c r="J173">
        <v>1.9079999999999999</v>
      </c>
      <c r="K173">
        <v>3.476</v>
      </c>
    </row>
    <row r="174" spans="1:11" x14ac:dyDescent="0.35">
      <c r="A174" s="1">
        <v>37359.649305555555</v>
      </c>
      <c r="B174">
        <v>2.1739999999999999</v>
      </c>
      <c r="C174">
        <f t="shared" si="8"/>
        <v>1</v>
      </c>
      <c r="D174">
        <f t="shared" si="9"/>
        <v>0</v>
      </c>
      <c r="E174">
        <f t="shared" si="10"/>
        <v>0</v>
      </c>
      <c r="F174">
        <f t="shared" si="11"/>
        <v>0</v>
      </c>
      <c r="H174" s="1">
        <v>38910.618055555555</v>
      </c>
      <c r="I174">
        <v>1</v>
      </c>
      <c r="J174">
        <v>0.76300000000000001</v>
      </c>
      <c r="K174">
        <v>0.76300000000000001</v>
      </c>
    </row>
    <row r="175" spans="1:11" x14ac:dyDescent="0.35">
      <c r="A175" s="1">
        <v>37370.635416666664</v>
      </c>
      <c r="B175">
        <v>0.92100000000000004</v>
      </c>
      <c r="C175">
        <f t="shared" si="8"/>
        <v>1</v>
      </c>
      <c r="D175">
        <f t="shared" si="9"/>
        <v>1</v>
      </c>
      <c r="E175">
        <f t="shared" si="10"/>
        <v>0.92100000000000004</v>
      </c>
      <c r="F175">
        <f t="shared" si="11"/>
        <v>0.92100000000000004</v>
      </c>
      <c r="H175" s="1">
        <v>38910.743055555555</v>
      </c>
      <c r="I175">
        <v>1</v>
      </c>
      <c r="J175">
        <v>0.77800000000000002</v>
      </c>
      <c r="K175">
        <v>0.77800000000000002</v>
      </c>
    </row>
    <row r="176" spans="1:11" x14ac:dyDescent="0.35">
      <c r="A176" s="1">
        <v>37393.638888888891</v>
      </c>
      <c r="B176">
        <v>1.5409999999999999</v>
      </c>
      <c r="C176">
        <f t="shared" si="8"/>
        <v>1</v>
      </c>
      <c r="D176">
        <f t="shared" si="9"/>
        <v>1</v>
      </c>
      <c r="E176">
        <f t="shared" si="10"/>
        <v>1.5409999999999999</v>
      </c>
      <c r="F176">
        <f t="shared" si="11"/>
        <v>1.5409999999999999</v>
      </c>
      <c r="H176" s="1">
        <v>38913.638888888891</v>
      </c>
      <c r="I176">
        <v>1</v>
      </c>
      <c r="J176">
        <v>0.68799999999999994</v>
      </c>
      <c r="K176">
        <v>0.68799999999999994</v>
      </c>
    </row>
    <row r="177" spans="1:11" x14ac:dyDescent="0.35">
      <c r="A177" s="1">
        <v>37466.760416666664</v>
      </c>
      <c r="B177">
        <v>0.84699999999999998</v>
      </c>
      <c r="C177">
        <f t="shared" si="8"/>
        <v>1</v>
      </c>
      <c r="D177">
        <f t="shared" si="9"/>
        <v>1</v>
      </c>
      <c r="E177">
        <f t="shared" si="10"/>
        <v>0.84699999999999998</v>
      </c>
      <c r="F177">
        <f t="shared" si="11"/>
        <v>0.84699999999999998</v>
      </c>
      <c r="H177" s="1">
        <v>38913.763888888891</v>
      </c>
      <c r="I177">
        <v>1</v>
      </c>
      <c r="J177">
        <v>0.85399999999999998</v>
      </c>
      <c r="K177">
        <v>0.85399999999999998</v>
      </c>
    </row>
    <row r="178" spans="1:11" x14ac:dyDescent="0.35">
      <c r="A178" s="1">
        <v>37545.607638888891</v>
      </c>
      <c r="B178">
        <v>0.95599999999999996</v>
      </c>
      <c r="C178">
        <f t="shared" si="8"/>
        <v>1</v>
      </c>
      <c r="D178">
        <f t="shared" si="9"/>
        <v>1</v>
      </c>
      <c r="E178">
        <f t="shared" si="10"/>
        <v>0.95599999999999996</v>
      </c>
      <c r="F178">
        <f t="shared" si="11"/>
        <v>0.95599999999999996</v>
      </c>
      <c r="H178" s="1">
        <v>38915.631944444445</v>
      </c>
      <c r="I178">
        <v>1</v>
      </c>
      <c r="J178">
        <v>2.5459999999999998</v>
      </c>
      <c r="K178">
        <v>2.5459999999999998</v>
      </c>
    </row>
    <row r="179" spans="1:11" x14ac:dyDescent="0.35">
      <c r="A179" s="1">
        <v>37548.114583333336</v>
      </c>
      <c r="B179">
        <v>3.8940000000000001</v>
      </c>
      <c r="C179">
        <f t="shared" si="8"/>
        <v>1</v>
      </c>
      <c r="D179">
        <f t="shared" si="9"/>
        <v>1</v>
      </c>
      <c r="E179">
        <f t="shared" si="10"/>
        <v>3.8940000000000001</v>
      </c>
      <c r="F179">
        <f t="shared" si="11"/>
        <v>3.8940000000000001</v>
      </c>
      <c r="H179" s="1">
        <v>38915.756944444445</v>
      </c>
      <c r="I179">
        <v>1</v>
      </c>
      <c r="J179">
        <v>0.85099999999999998</v>
      </c>
      <c r="K179">
        <v>0.85099999999999998</v>
      </c>
    </row>
    <row r="180" spans="1:11" x14ac:dyDescent="0.35">
      <c r="A180" s="1">
        <v>38851.631944444445</v>
      </c>
      <c r="B180">
        <v>1.589</v>
      </c>
      <c r="C180">
        <f t="shared" si="8"/>
        <v>2</v>
      </c>
      <c r="D180">
        <f t="shared" si="9"/>
        <v>2</v>
      </c>
      <c r="E180">
        <f t="shared" si="10"/>
        <v>1.819</v>
      </c>
      <c r="F180">
        <f t="shared" si="11"/>
        <v>3.4079999999999999</v>
      </c>
      <c r="H180" s="1">
        <v>38917.621527777781</v>
      </c>
      <c r="I180">
        <v>2</v>
      </c>
      <c r="J180">
        <v>1.7649999999999999</v>
      </c>
      <c r="K180">
        <v>3.3220000000000001</v>
      </c>
    </row>
    <row r="181" spans="1:11" x14ac:dyDescent="0.35">
      <c r="A181" s="1">
        <v>38851.631944444445</v>
      </c>
      <c r="B181">
        <v>1.819</v>
      </c>
      <c r="C181">
        <f t="shared" si="8"/>
        <v>1</v>
      </c>
      <c r="D181">
        <f t="shared" si="9"/>
        <v>0</v>
      </c>
      <c r="E181">
        <f t="shared" si="10"/>
        <v>0</v>
      </c>
      <c r="F181">
        <f t="shared" si="11"/>
        <v>0</v>
      </c>
      <c r="H181" s="1">
        <v>38917.746527777781</v>
      </c>
      <c r="I181">
        <v>1</v>
      </c>
      <c r="J181">
        <v>0.879</v>
      </c>
      <c r="K181">
        <v>0.879</v>
      </c>
    </row>
    <row r="182" spans="1:11" x14ac:dyDescent="0.35">
      <c r="A182" s="1">
        <v>38851.753472222219</v>
      </c>
      <c r="B182">
        <v>0.91700000000000004</v>
      </c>
      <c r="C182">
        <f t="shared" si="8"/>
        <v>2</v>
      </c>
      <c r="D182">
        <f t="shared" si="9"/>
        <v>2</v>
      </c>
      <c r="E182">
        <f t="shared" si="10"/>
        <v>2.4209999999999998</v>
      </c>
      <c r="F182">
        <f t="shared" si="11"/>
        <v>3.3380000000000001</v>
      </c>
      <c r="H182" s="1">
        <v>38918.260416666664</v>
      </c>
      <c r="I182">
        <v>1</v>
      </c>
      <c r="J182">
        <v>3.0630000000000002</v>
      </c>
      <c r="K182">
        <v>3.0630000000000002</v>
      </c>
    </row>
    <row r="183" spans="1:11" x14ac:dyDescent="0.35">
      <c r="A183" s="1">
        <v>38851.753472222219</v>
      </c>
      <c r="B183">
        <v>2.4209999999999998</v>
      </c>
      <c r="C183">
        <f t="shared" si="8"/>
        <v>1</v>
      </c>
      <c r="D183">
        <f t="shared" si="9"/>
        <v>0</v>
      </c>
      <c r="E183">
        <f t="shared" si="10"/>
        <v>0</v>
      </c>
      <c r="F183">
        <f t="shared" si="11"/>
        <v>0</v>
      </c>
      <c r="H183" s="1">
        <v>38919.739583333336</v>
      </c>
      <c r="I183">
        <v>1</v>
      </c>
      <c r="J183">
        <v>0.79900000000000004</v>
      </c>
      <c r="K183">
        <v>0.79900000000000004</v>
      </c>
    </row>
    <row r="184" spans="1:11" x14ac:dyDescent="0.35">
      <c r="A184" s="1">
        <v>38853.746527777781</v>
      </c>
      <c r="B184">
        <v>0.879</v>
      </c>
      <c r="C184">
        <f t="shared" si="8"/>
        <v>2</v>
      </c>
      <c r="D184">
        <f t="shared" si="9"/>
        <v>2</v>
      </c>
      <c r="E184">
        <f t="shared" si="10"/>
        <v>2.13</v>
      </c>
      <c r="F184">
        <f t="shared" si="11"/>
        <v>3.0089999999999999</v>
      </c>
      <c r="H184" s="1">
        <v>38921.729166666664</v>
      </c>
      <c r="I184">
        <v>1</v>
      </c>
      <c r="J184">
        <v>0.88200000000000001</v>
      </c>
      <c r="K184">
        <v>0.88200000000000001</v>
      </c>
    </row>
    <row r="185" spans="1:11" x14ac:dyDescent="0.35">
      <c r="A185" s="1">
        <v>38853.746527777781</v>
      </c>
      <c r="B185">
        <v>2.13</v>
      </c>
      <c r="C185">
        <f t="shared" si="8"/>
        <v>1</v>
      </c>
      <c r="D185">
        <f t="shared" si="9"/>
        <v>0</v>
      </c>
      <c r="E185">
        <f t="shared" si="10"/>
        <v>0</v>
      </c>
      <c r="F185">
        <f t="shared" si="11"/>
        <v>0</v>
      </c>
      <c r="H185" s="1">
        <v>38922.121527777781</v>
      </c>
      <c r="I185">
        <v>1</v>
      </c>
      <c r="J185">
        <v>2.9929999999999999</v>
      </c>
      <c r="K185">
        <v>2.9929999999999999</v>
      </c>
    </row>
    <row r="186" spans="1:11" x14ac:dyDescent="0.35">
      <c r="A186" s="1">
        <v>38854.774305555555</v>
      </c>
      <c r="B186">
        <v>0.60499999999999998</v>
      </c>
      <c r="C186">
        <f t="shared" si="8"/>
        <v>1</v>
      </c>
      <c r="D186">
        <f t="shared" si="9"/>
        <v>1</v>
      </c>
      <c r="E186">
        <f t="shared" si="10"/>
        <v>0.60499999999999998</v>
      </c>
      <c r="F186">
        <f t="shared" si="11"/>
        <v>0.60499999999999998</v>
      </c>
      <c r="H186" s="1">
        <v>38922.635416666664</v>
      </c>
      <c r="I186">
        <v>1</v>
      </c>
      <c r="J186">
        <v>3.1669999999999998</v>
      </c>
      <c r="K186">
        <v>3.1669999999999998</v>
      </c>
    </row>
    <row r="187" spans="1:11" x14ac:dyDescent="0.35">
      <c r="A187" s="1">
        <v>38858.121527777781</v>
      </c>
      <c r="B187">
        <v>2.9740000000000002</v>
      </c>
      <c r="C187">
        <f t="shared" si="8"/>
        <v>1</v>
      </c>
      <c r="D187">
        <f t="shared" si="9"/>
        <v>1</v>
      </c>
      <c r="E187">
        <f t="shared" si="10"/>
        <v>2.9740000000000002</v>
      </c>
      <c r="F187">
        <f t="shared" si="11"/>
        <v>2.9740000000000002</v>
      </c>
      <c r="H187" s="1">
        <v>38922.760416666664</v>
      </c>
      <c r="I187">
        <v>2</v>
      </c>
      <c r="J187">
        <v>0.98599999999999999</v>
      </c>
      <c r="K187">
        <v>1.9369999999999998</v>
      </c>
    </row>
    <row r="188" spans="1:11" x14ac:dyDescent="0.35">
      <c r="A188" s="1">
        <v>38860.75</v>
      </c>
      <c r="B188">
        <v>0.77500000000000002</v>
      </c>
      <c r="C188">
        <f t="shared" si="8"/>
        <v>3</v>
      </c>
      <c r="D188">
        <f t="shared" si="9"/>
        <v>3</v>
      </c>
      <c r="E188">
        <f t="shared" si="10"/>
        <v>2.2719999999999998</v>
      </c>
      <c r="F188">
        <f t="shared" si="11"/>
        <v>4.234</v>
      </c>
      <c r="H188" s="1">
        <v>38924.625</v>
      </c>
      <c r="I188">
        <v>2</v>
      </c>
      <c r="J188">
        <v>1.286</v>
      </c>
      <c r="K188">
        <v>2.1880000000000002</v>
      </c>
    </row>
    <row r="189" spans="1:11" x14ac:dyDescent="0.35">
      <c r="A189" s="1">
        <v>38860.75</v>
      </c>
      <c r="B189">
        <v>2.2719999999999998</v>
      </c>
      <c r="C189">
        <f t="shared" si="8"/>
        <v>2</v>
      </c>
      <c r="D189">
        <f t="shared" si="9"/>
        <v>0</v>
      </c>
      <c r="E189">
        <f t="shared" si="10"/>
        <v>0</v>
      </c>
      <c r="F189">
        <f t="shared" si="11"/>
        <v>0</v>
      </c>
      <c r="H189" s="1">
        <v>38924.75</v>
      </c>
      <c r="I189">
        <v>2</v>
      </c>
      <c r="J189">
        <v>2.452</v>
      </c>
      <c r="K189">
        <v>3.7919999999999998</v>
      </c>
    </row>
    <row r="190" spans="1:11" x14ac:dyDescent="0.35">
      <c r="A190" s="1">
        <v>38860.75</v>
      </c>
      <c r="B190">
        <v>1.1870000000000001</v>
      </c>
      <c r="C190">
        <f t="shared" si="8"/>
        <v>1</v>
      </c>
      <c r="D190">
        <f t="shared" si="9"/>
        <v>0</v>
      </c>
      <c r="E190">
        <f t="shared" si="10"/>
        <v>0</v>
      </c>
      <c r="F190">
        <f t="shared" si="11"/>
        <v>0</v>
      </c>
      <c r="H190" s="1">
        <v>38926.743055555555</v>
      </c>
      <c r="I190">
        <v>1</v>
      </c>
      <c r="J190">
        <v>1.742</v>
      </c>
      <c r="K190">
        <v>1.742</v>
      </c>
    </row>
    <row r="191" spans="1:11" x14ac:dyDescent="0.35">
      <c r="A191" s="1">
        <v>38861.78125</v>
      </c>
      <c r="B191">
        <v>0.95799999999999996</v>
      </c>
      <c r="C191">
        <f t="shared" si="8"/>
        <v>1</v>
      </c>
      <c r="D191">
        <f t="shared" si="9"/>
        <v>1</v>
      </c>
      <c r="E191">
        <f t="shared" si="10"/>
        <v>0.95799999999999996</v>
      </c>
      <c r="F191">
        <f t="shared" si="11"/>
        <v>0.95799999999999996</v>
      </c>
      <c r="H191" s="1">
        <v>38929.638888888891</v>
      </c>
      <c r="I191">
        <v>1</v>
      </c>
      <c r="J191">
        <v>1.8089999999999999</v>
      </c>
      <c r="K191">
        <v>1.8089999999999999</v>
      </c>
    </row>
    <row r="192" spans="1:11" x14ac:dyDescent="0.35">
      <c r="A192" s="1">
        <v>38862.743055555555</v>
      </c>
      <c r="B192">
        <v>0.77100000000000002</v>
      </c>
      <c r="C192">
        <f t="shared" si="8"/>
        <v>1</v>
      </c>
      <c r="D192">
        <f t="shared" si="9"/>
        <v>1</v>
      </c>
      <c r="E192">
        <f t="shared" si="10"/>
        <v>0.77100000000000002</v>
      </c>
      <c r="F192">
        <f t="shared" si="11"/>
        <v>0.77100000000000002</v>
      </c>
      <c r="H192" s="1">
        <v>38929.763888888891</v>
      </c>
      <c r="I192">
        <v>1</v>
      </c>
      <c r="J192">
        <v>1.0169999999999999</v>
      </c>
      <c r="K192">
        <v>1.0169999999999999</v>
      </c>
    </row>
    <row r="193" spans="1:11" x14ac:dyDescent="0.35">
      <c r="A193" s="1">
        <v>38863.645833333336</v>
      </c>
      <c r="B193">
        <v>0.89300000000000002</v>
      </c>
      <c r="C193">
        <f t="shared" si="8"/>
        <v>2</v>
      </c>
      <c r="D193">
        <f t="shared" si="9"/>
        <v>2</v>
      </c>
      <c r="E193">
        <f t="shared" si="10"/>
        <v>1.242</v>
      </c>
      <c r="F193">
        <f t="shared" si="11"/>
        <v>2.1349999999999998</v>
      </c>
      <c r="H193" s="1">
        <v>38931.631944444445</v>
      </c>
      <c r="I193">
        <v>1</v>
      </c>
      <c r="J193">
        <v>1.5409999999999999</v>
      </c>
      <c r="K193">
        <v>1.5409999999999999</v>
      </c>
    </row>
    <row r="194" spans="1:11" x14ac:dyDescent="0.35">
      <c r="A194" s="1">
        <v>38863.645833333336</v>
      </c>
      <c r="B194">
        <v>1.242</v>
      </c>
      <c r="C194">
        <f t="shared" si="8"/>
        <v>1</v>
      </c>
      <c r="D194">
        <f t="shared" si="9"/>
        <v>0</v>
      </c>
      <c r="E194">
        <f t="shared" si="10"/>
        <v>0</v>
      </c>
      <c r="F194">
        <f t="shared" si="11"/>
        <v>0</v>
      </c>
      <c r="H194" s="1">
        <v>38931.756944444445</v>
      </c>
      <c r="I194">
        <v>2</v>
      </c>
      <c r="J194">
        <v>0.95799999999999996</v>
      </c>
      <c r="K194">
        <v>1.875</v>
      </c>
    </row>
    <row r="195" spans="1:11" x14ac:dyDescent="0.35">
      <c r="A195" s="1">
        <v>38863.770833333336</v>
      </c>
      <c r="B195">
        <v>0.89900000000000002</v>
      </c>
      <c r="C195">
        <f t="shared" ref="C195:C258" si="12">IF(A195=A196,IF(A195=A197,IF(A195=A198,IF(A195=A199,IF(A195=A200,IF(A195=A201,IF(A195=A202,IF(A195=A203,9,8),7),6),5),4),3),2),1)</f>
        <v>2</v>
      </c>
      <c r="D195">
        <f t="shared" ref="D195:D258" si="13">IF(C194&gt;1,0,C195)</f>
        <v>2</v>
      </c>
      <c r="E195">
        <f t="shared" ref="E195:E258" si="14">IF(D195=1,B195,IF(D195=2,MAX(B195:B196),IF(D195=3,MAX(B195:B197),IF(D195=4,MAX(B195:B198),IF(D195=5,MAX(B195:B199),IF(D195=6,MAX(B195:B200),IF(D195=7,MAX(B195:B201),IF(D195=3,MAX(B195:B202),IF(D195=9,MAX(B195:B203),0)))))))))</f>
        <v>0.89900000000000002</v>
      </c>
      <c r="F195">
        <f t="shared" ref="F195:F258" si="15">IF(D195=1,B195,IF(D195=2,SUM(B195:B196),IF(D195=3,SUM(B195:B197),IF(D195=4,SUM(B195:B198),IF(D195=5,SUM(B195:B199),IF(D195=6,SUM(B195:B200),IF(D195=7,SUM(B195:B201),IF(D195=8,SUM(B195:B202),IF(D195=9,SUM(B195:B203),0)))))))))</f>
        <v>1.649</v>
      </c>
      <c r="H195" s="1">
        <v>38933.621527777781</v>
      </c>
      <c r="I195">
        <v>2</v>
      </c>
      <c r="J195">
        <v>1.075</v>
      </c>
      <c r="K195">
        <v>1.9710000000000001</v>
      </c>
    </row>
    <row r="196" spans="1:11" x14ac:dyDescent="0.35">
      <c r="A196" s="1">
        <v>38863.770833333336</v>
      </c>
      <c r="B196">
        <v>0.75</v>
      </c>
      <c r="C196">
        <f t="shared" si="12"/>
        <v>1</v>
      </c>
      <c r="D196">
        <f t="shared" si="13"/>
        <v>0</v>
      </c>
      <c r="E196">
        <f t="shared" si="14"/>
        <v>0</v>
      </c>
      <c r="F196">
        <f t="shared" si="15"/>
        <v>0</v>
      </c>
      <c r="H196" s="1">
        <v>38933.746527777781</v>
      </c>
      <c r="I196">
        <v>1</v>
      </c>
      <c r="J196">
        <v>2.3450000000000002</v>
      </c>
      <c r="K196">
        <v>2.3450000000000002</v>
      </c>
    </row>
    <row r="197" spans="1:11" x14ac:dyDescent="0.35">
      <c r="A197" s="1">
        <v>38865.763888888891</v>
      </c>
      <c r="B197">
        <v>0.76400000000000001</v>
      </c>
      <c r="C197">
        <f t="shared" si="12"/>
        <v>2</v>
      </c>
      <c r="D197">
        <f t="shared" si="13"/>
        <v>2</v>
      </c>
      <c r="E197">
        <f t="shared" si="14"/>
        <v>1.589</v>
      </c>
      <c r="F197">
        <f t="shared" si="15"/>
        <v>2.3529999999999998</v>
      </c>
      <c r="H197" s="1">
        <v>38935.739583333336</v>
      </c>
      <c r="I197">
        <v>2</v>
      </c>
      <c r="J197">
        <v>0.83299999999999996</v>
      </c>
      <c r="K197">
        <v>1.621</v>
      </c>
    </row>
    <row r="198" spans="1:11" x14ac:dyDescent="0.35">
      <c r="A198" s="1">
        <v>38865.763888888891</v>
      </c>
      <c r="B198">
        <v>1.589</v>
      </c>
      <c r="C198">
        <f t="shared" si="12"/>
        <v>1</v>
      </c>
      <c r="D198">
        <f t="shared" si="13"/>
        <v>0</v>
      </c>
      <c r="E198">
        <f t="shared" si="14"/>
        <v>0</v>
      </c>
      <c r="F198">
        <f t="shared" si="15"/>
        <v>0</v>
      </c>
      <c r="H198" s="1">
        <v>38936.642361111109</v>
      </c>
      <c r="I198">
        <v>2</v>
      </c>
      <c r="J198">
        <v>1.6930000000000001</v>
      </c>
      <c r="K198">
        <v>2.6859999999999999</v>
      </c>
    </row>
    <row r="199" spans="1:11" x14ac:dyDescent="0.35">
      <c r="A199" s="1">
        <v>38866.725694444445</v>
      </c>
      <c r="B199">
        <v>0.80600000000000005</v>
      </c>
      <c r="C199">
        <f t="shared" si="12"/>
        <v>2</v>
      </c>
      <c r="D199">
        <f t="shared" si="13"/>
        <v>2</v>
      </c>
      <c r="E199">
        <f t="shared" si="14"/>
        <v>0.80600000000000005</v>
      </c>
      <c r="F199">
        <f t="shared" si="15"/>
        <v>1.5940000000000001</v>
      </c>
      <c r="H199" s="1">
        <v>38937.729166666664</v>
      </c>
      <c r="I199">
        <v>2</v>
      </c>
      <c r="J199">
        <v>0.86099999999999999</v>
      </c>
      <c r="K199">
        <v>1.552</v>
      </c>
    </row>
    <row r="200" spans="1:11" x14ac:dyDescent="0.35">
      <c r="A200" s="1">
        <v>38866.725694444445</v>
      </c>
      <c r="B200">
        <v>0.78800000000000003</v>
      </c>
      <c r="C200">
        <f t="shared" si="12"/>
        <v>1</v>
      </c>
      <c r="D200">
        <f t="shared" si="13"/>
        <v>0</v>
      </c>
      <c r="E200">
        <f t="shared" si="14"/>
        <v>0</v>
      </c>
      <c r="F200">
        <f t="shared" si="15"/>
        <v>0</v>
      </c>
      <c r="H200" s="1">
        <v>38940.625</v>
      </c>
      <c r="I200">
        <v>1</v>
      </c>
      <c r="J200">
        <v>0.90500000000000003</v>
      </c>
      <c r="K200">
        <v>0.90500000000000003</v>
      </c>
    </row>
    <row r="201" spans="1:11" x14ac:dyDescent="0.35">
      <c r="A201" s="1">
        <v>38867.118055555555</v>
      </c>
      <c r="B201">
        <v>3.145</v>
      </c>
      <c r="C201">
        <f t="shared" si="12"/>
        <v>1</v>
      </c>
      <c r="D201">
        <f t="shared" si="13"/>
        <v>1</v>
      </c>
      <c r="E201">
        <f t="shared" si="14"/>
        <v>3.145</v>
      </c>
      <c r="F201">
        <f t="shared" si="15"/>
        <v>3.145</v>
      </c>
      <c r="H201" s="1">
        <v>38940.75</v>
      </c>
      <c r="I201">
        <v>1</v>
      </c>
      <c r="J201">
        <v>0.81299999999999994</v>
      </c>
      <c r="K201">
        <v>0.81299999999999994</v>
      </c>
    </row>
    <row r="202" spans="1:11" x14ac:dyDescent="0.35">
      <c r="A202" s="1">
        <v>38867.631944444445</v>
      </c>
      <c r="B202">
        <v>5.2770000000000001</v>
      </c>
      <c r="C202">
        <f t="shared" si="12"/>
        <v>2</v>
      </c>
      <c r="D202">
        <f t="shared" si="13"/>
        <v>2</v>
      </c>
      <c r="E202">
        <f t="shared" si="14"/>
        <v>5.2770000000000001</v>
      </c>
      <c r="F202">
        <f t="shared" si="15"/>
        <v>6.976</v>
      </c>
      <c r="H202" s="1">
        <v>38944.607638888891</v>
      </c>
      <c r="I202">
        <v>2</v>
      </c>
      <c r="J202">
        <v>0.82</v>
      </c>
      <c r="K202">
        <v>1.593</v>
      </c>
    </row>
    <row r="203" spans="1:11" x14ac:dyDescent="0.35">
      <c r="A203" s="1">
        <v>38867.631944444445</v>
      </c>
      <c r="B203">
        <v>1.6990000000000001</v>
      </c>
      <c r="C203">
        <f t="shared" si="12"/>
        <v>1</v>
      </c>
      <c r="D203">
        <f t="shared" si="13"/>
        <v>0</v>
      </c>
      <c r="E203">
        <f t="shared" si="14"/>
        <v>0</v>
      </c>
      <c r="F203">
        <f t="shared" si="15"/>
        <v>0</v>
      </c>
      <c r="H203" s="1">
        <v>38945.638888888891</v>
      </c>
      <c r="I203">
        <v>1</v>
      </c>
      <c r="J203">
        <v>0.82299999999999995</v>
      </c>
      <c r="K203">
        <v>0.82299999999999995</v>
      </c>
    </row>
    <row r="204" spans="1:11" x14ac:dyDescent="0.35">
      <c r="A204" s="1">
        <v>38867.753472222219</v>
      </c>
      <c r="B204">
        <v>1.048</v>
      </c>
      <c r="C204">
        <f t="shared" si="12"/>
        <v>2</v>
      </c>
      <c r="D204">
        <f t="shared" si="13"/>
        <v>2</v>
      </c>
      <c r="E204">
        <f t="shared" si="14"/>
        <v>3.0870000000000002</v>
      </c>
      <c r="F204">
        <f t="shared" si="15"/>
        <v>4.1349999999999998</v>
      </c>
      <c r="H204" s="1">
        <v>38947.631944444445</v>
      </c>
      <c r="I204">
        <v>1</v>
      </c>
      <c r="J204">
        <v>1.236</v>
      </c>
      <c r="K204">
        <v>1.236</v>
      </c>
    </row>
    <row r="205" spans="1:11" x14ac:dyDescent="0.35">
      <c r="A205" s="1">
        <v>38867.753472222219</v>
      </c>
      <c r="B205">
        <v>3.0870000000000002</v>
      </c>
      <c r="C205">
        <f t="shared" si="12"/>
        <v>1</v>
      </c>
      <c r="D205">
        <f t="shared" si="13"/>
        <v>0</v>
      </c>
      <c r="E205">
        <f t="shared" si="14"/>
        <v>0</v>
      </c>
      <c r="F205">
        <f t="shared" si="15"/>
        <v>0</v>
      </c>
      <c r="H205" s="1">
        <v>38947.756944444445</v>
      </c>
      <c r="I205">
        <v>1</v>
      </c>
      <c r="J205">
        <v>1.9810000000000001</v>
      </c>
      <c r="K205">
        <v>1.9810000000000001</v>
      </c>
    </row>
    <row r="206" spans="1:11" x14ac:dyDescent="0.35">
      <c r="A206" s="1">
        <v>38869.621527777781</v>
      </c>
      <c r="B206">
        <v>3.1509999999999998</v>
      </c>
      <c r="C206">
        <f t="shared" si="12"/>
        <v>2</v>
      </c>
      <c r="D206">
        <f t="shared" si="13"/>
        <v>2</v>
      </c>
      <c r="E206">
        <f t="shared" si="14"/>
        <v>3.1509999999999998</v>
      </c>
      <c r="F206">
        <f t="shared" si="15"/>
        <v>4.1659999999999995</v>
      </c>
      <c r="H206" s="1">
        <v>38949.621527777781</v>
      </c>
      <c r="I206">
        <v>1</v>
      </c>
      <c r="J206">
        <v>0.877</v>
      </c>
      <c r="K206">
        <v>0.877</v>
      </c>
    </row>
    <row r="207" spans="1:11" x14ac:dyDescent="0.35">
      <c r="A207" s="1">
        <v>38869.621527777781</v>
      </c>
      <c r="B207">
        <v>1.0149999999999999</v>
      </c>
      <c r="C207">
        <f t="shared" si="12"/>
        <v>1</v>
      </c>
      <c r="D207">
        <f t="shared" si="13"/>
        <v>0</v>
      </c>
      <c r="E207">
        <f t="shared" si="14"/>
        <v>0</v>
      </c>
      <c r="F207">
        <f t="shared" si="15"/>
        <v>0</v>
      </c>
      <c r="H207" s="1">
        <v>38949.746527777781</v>
      </c>
      <c r="I207">
        <v>1</v>
      </c>
      <c r="J207">
        <v>1.2430000000000001</v>
      </c>
      <c r="K207">
        <v>1.2430000000000001</v>
      </c>
    </row>
    <row r="208" spans="1:11" x14ac:dyDescent="0.35">
      <c r="A208" s="1">
        <v>38869.746527777781</v>
      </c>
      <c r="B208">
        <v>1.357</v>
      </c>
      <c r="C208">
        <f t="shared" si="12"/>
        <v>3</v>
      </c>
      <c r="D208">
        <f t="shared" si="13"/>
        <v>3</v>
      </c>
      <c r="E208">
        <f t="shared" si="14"/>
        <v>1.357</v>
      </c>
      <c r="F208">
        <f t="shared" si="15"/>
        <v>2.6970000000000001</v>
      </c>
      <c r="H208" s="1">
        <v>38954.121527777781</v>
      </c>
      <c r="I208">
        <v>1</v>
      </c>
      <c r="J208">
        <v>3.91</v>
      </c>
      <c r="K208">
        <v>3.91</v>
      </c>
    </row>
    <row r="209" spans="1:11" x14ac:dyDescent="0.35">
      <c r="A209" s="1">
        <v>38869.746527777781</v>
      </c>
      <c r="B209">
        <v>0.67</v>
      </c>
      <c r="C209">
        <f t="shared" si="12"/>
        <v>2</v>
      </c>
      <c r="D209">
        <f t="shared" si="13"/>
        <v>0</v>
      </c>
      <c r="E209">
        <f t="shared" si="14"/>
        <v>0</v>
      </c>
      <c r="F209">
        <f t="shared" si="15"/>
        <v>0</v>
      </c>
      <c r="H209" s="1">
        <v>38954.635416666664</v>
      </c>
      <c r="I209">
        <v>1</v>
      </c>
      <c r="J209">
        <v>0.93700000000000006</v>
      </c>
      <c r="K209">
        <v>0.93700000000000006</v>
      </c>
    </row>
    <row r="210" spans="1:11" x14ac:dyDescent="0.35">
      <c r="A210" s="1">
        <v>38869.746527777781</v>
      </c>
      <c r="B210">
        <v>0.67</v>
      </c>
      <c r="C210">
        <f t="shared" si="12"/>
        <v>1</v>
      </c>
      <c r="D210">
        <f t="shared" si="13"/>
        <v>0</v>
      </c>
      <c r="E210">
        <f t="shared" si="14"/>
        <v>0</v>
      </c>
      <c r="F210">
        <f t="shared" si="15"/>
        <v>0</v>
      </c>
      <c r="H210" s="1">
        <v>38956.625</v>
      </c>
      <c r="I210">
        <v>2</v>
      </c>
      <c r="J210">
        <v>1.6830000000000001</v>
      </c>
      <c r="K210">
        <v>2.6579999999999999</v>
      </c>
    </row>
    <row r="211" spans="1:11" x14ac:dyDescent="0.35">
      <c r="A211" s="1">
        <v>38870.652777777781</v>
      </c>
      <c r="B211">
        <v>2.597</v>
      </c>
      <c r="C211">
        <f t="shared" si="12"/>
        <v>4</v>
      </c>
      <c r="D211">
        <f t="shared" si="13"/>
        <v>4</v>
      </c>
      <c r="E211">
        <f t="shared" si="14"/>
        <v>2.597</v>
      </c>
      <c r="F211">
        <f t="shared" si="15"/>
        <v>8.4710000000000001</v>
      </c>
      <c r="H211" s="1">
        <v>38956.75</v>
      </c>
      <c r="I211">
        <v>1</v>
      </c>
      <c r="J211">
        <v>1.631</v>
      </c>
      <c r="K211">
        <v>1.631</v>
      </c>
    </row>
    <row r="212" spans="1:11" x14ac:dyDescent="0.35">
      <c r="A212" s="1">
        <v>38870.652777777781</v>
      </c>
      <c r="B212">
        <v>1.68</v>
      </c>
      <c r="C212">
        <f t="shared" si="12"/>
        <v>3</v>
      </c>
      <c r="D212">
        <f t="shared" si="13"/>
        <v>0</v>
      </c>
      <c r="E212">
        <f t="shared" si="14"/>
        <v>0</v>
      </c>
      <c r="F212">
        <f t="shared" si="15"/>
        <v>0</v>
      </c>
      <c r="H212" s="1">
        <v>38960.736111111109</v>
      </c>
      <c r="I212">
        <v>2</v>
      </c>
      <c r="J212">
        <v>0.93700000000000006</v>
      </c>
      <c r="K212">
        <v>1.7360000000000002</v>
      </c>
    </row>
    <row r="213" spans="1:11" x14ac:dyDescent="0.35">
      <c r="A213" s="1">
        <v>38870.652777777781</v>
      </c>
      <c r="B213">
        <v>1.6259999999999999</v>
      </c>
      <c r="C213">
        <f t="shared" si="12"/>
        <v>2</v>
      </c>
      <c r="D213">
        <f t="shared" si="13"/>
        <v>0</v>
      </c>
      <c r="E213">
        <f t="shared" si="14"/>
        <v>0</v>
      </c>
      <c r="F213">
        <f t="shared" si="15"/>
        <v>0</v>
      </c>
      <c r="H213" s="1">
        <v>38963.631944444445</v>
      </c>
      <c r="I213">
        <v>1</v>
      </c>
      <c r="J213">
        <v>1.1000000000000001</v>
      </c>
      <c r="K213">
        <v>1.1000000000000001</v>
      </c>
    </row>
    <row r="214" spans="1:11" x14ac:dyDescent="0.35">
      <c r="A214" s="1">
        <v>38870.652777777781</v>
      </c>
      <c r="B214">
        <v>2.5680000000000001</v>
      </c>
      <c r="C214">
        <f t="shared" si="12"/>
        <v>1</v>
      </c>
      <c r="D214">
        <f t="shared" si="13"/>
        <v>0</v>
      </c>
      <c r="E214">
        <f t="shared" si="14"/>
        <v>0</v>
      </c>
      <c r="F214">
        <f t="shared" si="15"/>
        <v>0</v>
      </c>
      <c r="H214" s="1">
        <v>38965.746527777781</v>
      </c>
      <c r="I214">
        <v>1</v>
      </c>
      <c r="J214">
        <v>1.0660000000000001</v>
      </c>
      <c r="K214">
        <v>1.0660000000000001</v>
      </c>
    </row>
    <row r="215" spans="1:11" x14ac:dyDescent="0.35">
      <c r="A215" s="1">
        <v>38870.777777777781</v>
      </c>
      <c r="B215">
        <v>1.704</v>
      </c>
      <c r="C215">
        <f t="shared" si="12"/>
        <v>2</v>
      </c>
      <c r="D215">
        <f t="shared" si="13"/>
        <v>2</v>
      </c>
      <c r="E215">
        <f t="shared" si="14"/>
        <v>1.704</v>
      </c>
      <c r="F215">
        <f t="shared" si="15"/>
        <v>3.2649999999999997</v>
      </c>
      <c r="H215" s="1">
        <v>39050.635416666664</v>
      </c>
      <c r="I215">
        <v>2</v>
      </c>
      <c r="J215">
        <v>2.5710000000000002</v>
      </c>
      <c r="K215">
        <v>3.3470000000000004</v>
      </c>
    </row>
    <row r="216" spans="1:11" x14ac:dyDescent="0.35">
      <c r="A216" s="1">
        <v>38870.777777777781</v>
      </c>
      <c r="B216">
        <v>1.5609999999999999</v>
      </c>
      <c r="C216">
        <f t="shared" si="12"/>
        <v>1</v>
      </c>
      <c r="D216">
        <f t="shared" si="13"/>
        <v>0</v>
      </c>
      <c r="E216">
        <f t="shared" si="14"/>
        <v>0</v>
      </c>
      <c r="F216">
        <f t="shared" si="15"/>
        <v>0</v>
      </c>
      <c r="H216" s="1">
        <v>39050.760416666664</v>
      </c>
      <c r="I216">
        <v>1</v>
      </c>
      <c r="J216">
        <v>0.74299999999999999</v>
      </c>
      <c r="K216">
        <v>0.74299999999999999</v>
      </c>
    </row>
    <row r="217" spans="1:11" x14ac:dyDescent="0.35">
      <c r="A217" s="1">
        <v>38871.614583333336</v>
      </c>
      <c r="B217">
        <v>0.70699999999999996</v>
      </c>
      <c r="C217">
        <f t="shared" si="12"/>
        <v>1</v>
      </c>
      <c r="D217">
        <f t="shared" si="13"/>
        <v>1</v>
      </c>
      <c r="E217">
        <f t="shared" si="14"/>
        <v>0.70699999999999996</v>
      </c>
      <c r="F217">
        <f t="shared" si="15"/>
        <v>0.70699999999999996</v>
      </c>
      <c r="H217" s="1">
        <v>39087.649305555555</v>
      </c>
      <c r="I217">
        <v>2</v>
      </c>
      <c r="J217">
        <v>0.94599999999999995</v>
      </c>
      <c r="K217">
        <v>1.653</v>
      </c>
    </row>
    <row r="218" spans="1:11" x14ac:dyDescent="0.35">
      <c r="A218" s="1">
        <v>38871.736111111109</v>
      </c>
      <c r="B218">
        <v>0.93400000000000005</v>
      </c>
      <c r="C218">
        <f t="shared" si="12"/>
        <v>2</v>
      </c>
      <c r="D218">
        <f t="shared" si="13"/>
        <v>2</v>
      </c>
      <c r="E218">
        <f t="shared" si="14"/>
        <v>1.0900000000000001</v>
      </c>
      <c r="F218">
        <f t="shared" si="15"/>
        <v>2.024</v>
      </c>
      <c r="H218" s="1">
        <v>40480.736111111109</v>
      </c>
      <c r="I218">
        <v>4</v>
      </c>
      <c r="J218">
        <v>0.91300000000000003</v>
      </c>
      <c r="K218">
        <v>1.698</v>
      </c>
    </row>
    <row r="219" spans="1:11" x14ac:dyDescent="0.35">
      <c r="A219" s="1">
        <v>38871.736111111109</v>
      </c>
      <c r="B219">
        <v>1.0900000000000001</v>
      </c>
      <c r="C219">
        <f t="shared" si="12"/>
        <v>1</v>
      </c>
      <c r="D219">
        <f t="shared" si="13"/>
        <v>0</v>
      </c>
      <c r="E219">
        <f t="shared" si="14"/>
        <v>0</v>
      </c>
      <c r="F219">
        <f t="shared" si="15"/>
        <v>0</v>
      </c>
      <c r="H219" s="1"/>
    </row>
    <row r="220" spans="1:11" x14ac:dyDescent="0.35">
      <c r="A220" s="1">
        <v>38872.131944444445</v>
      </c>
      <c r="B220">
        <v>4.5620000000000003</v>
      </c>
      <c r="C220">
        <f t="shared" si="12"/>
        <v>1</v>
      </c>
      <c r="D220">
        <f t="shared" si="13"/>
        <v>1</v>
      </c>
      <c r="E220">
        <f t="shared" si="14"/>
        <v>4.5620000000000003</v>
      </c>
      <c r="F220">
        <f t="shared" si="15"/>
        <v>4.5620000000000003</v>
      </c>
      <c r="H220" s="1"/>
    </row>
    <row r="221" spans="1:11" x14ac:dyDescent="0.35">
      <c r="A221" s="1">
        <v>38872.25</v>
      </c>
      <c r="B221">
        <v>4.0720000000000001</v>
      </c>
      <c r="C221">
        <f t="shared" si="12"/>
        <v>1</v>
      </c>
      <c r="D221">
        <f t="shared" si="13"/>
        <v>1</v>
      </c>
      <c r="E221">
        <f t="shared" si="14"/>
        <v>4.0720000000000001</v>
      </c>
      <c r="F221">
        <f t="shared" si="15"/>
        <v>4.0720000000000001</v>
      </c>
      <c r="H221" s="1"/>
    </row>
    <row r="222" spans="1:11" x14ac:dyDescent="0.35">
      <c r="A222" s="1">
        <v>38872.642361111109</v>
      </c>
      <c r="B222">
        <v>2.9049999999999998</v>
      </c>
      <c r="C222">
        <f t="shared" si="12"/>
        <v>2</v>
      </c>
      <c r="D222">
        <f t="shared" si="13"/>
        <v>2</v>
      </c>
      <c r="E222">
        <f t="shared" si="14"/>
        <v>2.9049999999999998</v>
      </c>
      <c r="F222">
        <f t="shared" si="15"/>
        <v>5.59</v>
      </c>
      <c r="H222" s="1"/>
    </row>
    <row r="223" spans="1:11" x14ac:dyDescent="0.35">
      <c r="A223" s="1">
        <v>38872.642361111109</v>
      </c>
      <c r="B223">
        <v>2.6850000000000001</v>
      </c>
      <c r="C223">
        <f t="shared" si="12"/>
        <v>1</v>
      </c>
      <c r="D223">
        <f t="shared" si="13"/>
        <v>0</v>
      </c>
      <c r="E223">
        <f t="shared" si="14"/>
        <v>0</v>
      </c>
      <c r="F223">
        <f t="shared" si="15"/>
        <v>0</v>
      </c>
      <c r="H223" s="1"/>
    </row>
    <row r="224" spans="1:11" x14ac:dyDescent="0.35">
      <c r="A224" s="1">
        <v>38872.767361111109</v>
      </c>
      <c r="B224">
        <v>1.0620000000000001</v>
      </c>
      <c r="C224">
        <f t="shared" si="12"/>
        <v>2</v>
      </c>
      <c r="D224">
        <f t="shared" si="13"/>
        <v>2</v>
      </c>
      <c r="E224">
        <f t="shared" si="14"/>
        <v>2.7090000000000001</v>
      </c>
      <c r="F224">
        <f t="shared" si="15"/>
        <v>3.7709999999999999</v>
      </c>
      <c r="H224" s="1"/>
    </row>
    <row r="225" spans="1:8" x14ac:dyDescent="0.35">
      <c r="A225" s="1">
        <v>38872.767361111109</v>
      </c>
      <c r="B225">
        <v>2.7090000000000001</v>
      </c>
      <c r="C225">
        <f t="shared" si="12"/>
        <v>1</v>
      </c>
      <c r="D225">
        <f t="shared" si="13"/>
        <v>0</v>
      </c>
      <c r="E225">
        <f t="shared" si="14"/>
        <v>0</v>
      </c>
      <c r="F225">
        <f t="shared" si="15"/>
        <v>0</v>
      </c>
      <c r="H225" s="1"/>
    </row>
    <row r="226" spans="1:8" x14ac:dyDescent="0.35">
      <c r="A226" s="1">
        <v>38873.604166666664</v>
      </c>
      <c r="B226">
        <v>0.57799999999999996</v>
      </c>
      <c r="C226">
        <f t="shared" si="12"/>
        <v>1</v>
      </c>
      <c r="D226">
        <f t="shared" si="13"/>
        <v>1</v>
      </c>
      <c r="E226">
        <f t="shared" si="14"/>
        <v>0.57799999999999996</v>
      </c>
      <c r="F226">
        <f t="shared" si="15"/>
        <v>0.57799999999999996</v>
      </c>
      <c r="H226" s="1"/>
    </row>
    <row r="227" spans="1:8" x14ac:dyDescent="0.35">
      <c r="A227" s="1">
        <v>38874.121527777781</v>
      </c>
      <c r="B227">
        <v>7.04</v>
      </c>
      <c r="C227">
        <f t="shared" si="12"/>
        <v>1</v>
      </c>
      <c r="D227">
        <f t="shared" si="13"/>
        <v>1</v>
      </c>
      <c r="E227">
        <f t="shared" si="14"/>
        <v>7.04</v>
      </c>
      <c r="F227">
        <f t="shared" si="15"/>
        <v>7.04</v>
      </c>
      <c r="H227" s="1"/>
    </row>
    <row r="228" spans="1:8" x14ac:dyDescent="0.35">
      <c r="A228" s="1">
        <v>38874.635416666664</v>
      </c>
      <c r="B228">
        <v>3.1040000000000001</v>
      </c>
      <c r="C228">
        <f t="shared" si="12"/>
        <v>3</v>
      </c>
      <c r="D228">
        <f t="shared" si="13"/>
        <v>3</v>
      </c>
      <c r="E228">
        <f t="shared" si="14"/>
        <v>4.6310000000000002</v>
      </c>
      <c r="F228">
        <f t="shared" si="15"/>
        <v>11.260999999999999</v>
      </c>
      <c r="H228" s="1"/>
    </row>
    <row r="229" spans="1:8" x14ac:dyDescent="0.35">
      <c r="A229" s="1">
        <v>38874.635416666664</v>
      </c>
      <c r="B229">
        <v>4.6310000000000002</v>
      </c>
      <c r="C229">
        <f t="shared" si="12"/>
        <v>2</v>
      </c>
      <c r="D229">
        <f t="shared" si="13"/>
        <v>0</v>
      </c>
      <c r="E229">
        <f t="shared" si="14"/>
        <v>0</v>
      </c>
      <c r="F229">
        <f t="shared" si="15"/>
        <v>0</v>
      </c>
      <c r="H229" s="1"/>
    </row>
    <row r="230" spans="1:8" x14ac:dyDescent="0.35">
      <c r="A230" s="1">
        <v>38874.635416666664</v>
      </c>
      <c r="B230">
        <v>3.5259999999999998</v>
      </c>
      <c r="C230">
        <f t="shared" si="12"/>
        <v>1</v>
      </c>
      <c r="D230">
        <f t="shared" si="13"/>
        <v>0</v>
      </c>
      <c r="E230">
        <f t="shared" si="14"/>
        <v>0</v>
      </c>
      <c r="F230">
        <f t="shared" si="15"/>
        <v>0</v>
      </c>
      <c r="H230" s="1"/>
    </row>
    <row r="231" spans="1:8" x14ac:dyDescent="0.35">
      <c r="A231" s="1">
        <v>38876.114583333336</v>
      </c>
      <c r="B231">
        <v>2.9780000000000002</v>
      </c>
      <c r="C231">
        <f t="shared" si="12"/>
        <v>1</v>
      </c>
      <c r="D231">
        <f t="shared" si="13"/>
        <v>1</v>
      </c>
      <c r="E231">
        <f t="shared" si="14"/>
        <v>2.9780000000000002</v>
      </c>
      <c r="F231">
        <f t="shared" si="15"/>
        <v>2.9780000000000002</v>
      </c>
      <c r="H231" s="1"/>
    </row>
    <row r="232" spans="1:8" x14ac:dyDescent="0.35">
      <c r="A232" s="1">
        <v>38876.625</v>
      </c>
      <c r="B232">
        <v>2.4550000000000001</v>
      </c>
      <c r="C232">
        <f t="shared" si="12"/>
        <v>1</v>
      </c>
      <c r="D232">
        <f t="shared" si="13"/>
        <v>1</v>
      </c>
      <c r="E232">
        <f t="shared" si="14"/>
        <v>2.4550000000000001</v>
      </c>
      <c r="F232">
        <f t="shared" si="15"/>
        <v>2.4550000000000001</v>
      </c>
      <c r="H232" s="1"/>
    </row>
    <row r="233" spans="1:8" x14ac:dyDescent="0.35">
      <c r="A233" s="1">
        <v>38876.75</v>
      </c>
      <c r="B233">
        <v>1.641</v>
      </c>
      <c r="C233">
        <f t="shared" si="12"/>
        <v>2</v>
      </c>
      <c r="D233">
        <f t="shared" si="13"/>
        <v>2</v>
      </c>
      <c r="E233">
        <f t="shared" si="14"/>
        <v>1.641</v>
      </c>
      <c r="F233">
        <f t="shared" si="15"/>
        <v>3.2749999999999999</v>
      </c>
      <c r="H233" s="1"/>
    </row>
    <row r="234" spans="1:8" x14ac:dyDescent="0.35">
      <c r="A234" s="1">
        <v>38876.75</v>
      </c>
      <c r="B234">
        <v>1.6339999999999999</v>
      </c>
      <c r="C234">
        <f t="shared" si="12"/>
        <v>1</v>
      </c>
      <c r="D234">
        <f t="shared" si="13"/>
        <v>0</v>
      </c>
      <c r="E234">
        <f t="shared" si="14"/>
        <v>0</v>
      </c>
      <c r="F234">
        <f t="shared" si="15"/>
        <v>0</v>
      </c>
      <c r="H234" s="1"/>
    </row>
    <row r="235" spans="1:8" x14ac:dyDescent="0.35">
      <c r="A235" s="1">
        <v>38877.263888888891</v>
      </c>
      <c r="B235">
        <v>3.1349999999999998</v>
      </c>
      <c r="C235">
        <f t="shared" si="12"/>
        <v>1</v>
      </c>
      <c r="D235">
        <f t="shared" si="13"/>
        <v>1</v>
      </c>
      <c r="E235">
        <f t="shared" si="14"/>
        <v>3.1349999999999998</v>
      </c>
      <c r="F235">
        <f t="shared" si="15"/>
        <v>3.1349999999999998</v>
      </c>
      <c r="H235" s="1"/>
    </row>
    <row r="236" spans="1:8" x14ac:dyDescent="0.35">
      <c r="A236" s="1">
        <v>38877.65625</v>
      </c>
      <c r="B236">
        <v>0.46700000000000003</v>
      </c>
      <c r="C236">
        <f t="shared" si="12"/>
        <v>1</v>
      </c>
      <c r="D236">
        <f t="shared" si="13"/>
        <v>1</v>
      </c>
      <c r="E236">
        <f t="shared" si="14"/>
        <v>0.46700000000000003</v>
      </c>
      <c r="F236">
        <f t="shared" si="15"/>
        <v>0.46700000000000003</v>
      </c>
      <c r="H236" s="1"/>
    </row>
    <row r="237" spans="1:8" x14ac:dyDescent="0.35">
      <c r="A237" s="1">
        <v>38877.78125</v>
      </c>
      <c r="B237">
        <v>0.84399999999999997</v>
      </c>
      <c r="C237">
        <f t="shared" si="12"/>
        <v>1</v>
      </c>
      <c r="D237">
        <f t="shared" si="13"/>
        <v>1</v>
      </c>
      <c r="E237">
        <f t="shared" si="14"/>
        <v>0.84399999999999997</v>
      </c>
      <c r="F237">
        <f t="shared" si="15"/>
        <v>0.84399999999999997</v>
      </c>
      <c r="H237" s="1"/>
    </row>
    <row r="238" spans="1:8" x14ac:dyDescent="0.35">
      <c r="A238" s="1">
        <v>38878.618055555555</v>
      </c>
      <c r="B238">
        <v>1.3620000000000001</v>
      </c>
      <c r="C238">
        <f t="shared" si="12"/>
        <v>2</v>
      </c>
      <c r="D238">
        <f t="shared" si="13"/>
        <v>2</v>
      </c>
      <c r="E238">
        <f t="shared" si="14"/>
        <v>1.3620000000000001</v>
      </c>
      <c r="F238">
        <f t="shared" si="15"/>
        <v>2.677</v>
      </c>
      <c r="H238" s="1"/>
    </row>
    <row r="239" spans="1:8" x14ac:dyDescent="0.35">
      <c r="A239" s="1">
        <v>38878.618055555555</v>
      </c>
      <c r="B239">
        <v>1.3149999999999999</v>
      </c>
      <c r="C239">
        <f t="shared" si="12"/>
        <v>1</v>
      </c>
      <c r="D239">
        <f t="shared" si="13"/>
        <v>0</v>
      </c>
      <c r="E239">
        <f t="shared" si="14"/>
        <v>0</v>
      </c>
      <c r="F239">
        <f t="shared" si="15"/>
        <v>0</v>
      </c>
      <c r="H239" s="1"/>
    </row>
    <row r="240" spans="1:8" x14ac:dyDescent="0.35">
      <c r="A240" s="1">
        <v>38878.743055555555</v>
      </c>
      <c r="B240">
        <v>1.288</v>
      </c>
      <c r="C240">
        <f t="shared" si="12"/>
        <v>2</v>
      </c>
      <c r="D240">
        <f t="shared" si="13"/>
        <v>2</v>
      </c>
      <c r="E240">
        <f t="shared" si="14"/>
        <v>1.288</v>
      </c>
      <c r="F240">
        <f t="shared" si="15"/>
        <v>2.25</v>
      </c>
      <c r="H240" s="1"/>
    </row>
    <row r="241" spans="1:8" x14ac:dyDescent="0.35">
      <c r="A241" s="1">
        <v>38878.743055555555</v>
      </c>
      <c r="B241">
        <v>0.96199999999999997</v>
      </c>
      <c r="C241">
        <f t="shared" si="12"/>
        <v>1</v>
      </c>
      <c r="D241">
        <f t="shared" si="13"/>
        <v>0</v>
      </c>
      <c r="E241">
        <f t="shared" si="14"/>
        <v>0</v>
      </c>
      <c r="F241">
        <f t="shared" si="15"/>
        <v>0</v>
      </c>
      <c r="H241" s="1"/>
    </row>
    <row r="242" spans="1:8" x14ac:dyDescent="0.35">
      <c r="A242" s="1">
        <v>38879.135416666664</v>
      </c>
      <c r="B242">
        <v>3.3210000000000002</v>
      </c>
      <c r="C242">
        <f t="shared" si="12"/>
        <v>1</v>
      </c>
      <c r="D242">
        <f t="shared" si="13"/>
        <v>1</v>
      </c>
      <c r="E242">
        <f t="shared" si="14"/>
        <v>3.3210000000000002</v>
      </c>
      <c r="F242">
        <f t="shared" si="15"/>
        <v>3.3210000000000002</v>
      </c>
      <c r="H242" s="1"/>
    </row>
    <row r="243" spans="1:8" x14ac:dyDescent="0.35">
      <c r="A243" s="1">
        <v>38879.645833333336</v>
      </c>
      <c r="B243">
        <v>1.0029999999999999</v>
      </c>
      <c r="C243">
        <f t="shared" si="12"/>
        <v>1</v>
      </c>
      <c r="D243">
        <f t="shared" si="13"/>
        <v>1</v>
      </c>
      <c r="E243">
        <f t="shared" si="14"/>
        <v>1.0029999999999999</v>
      </c>
      <c r="F243">
        <f t="shared" si="15"/>
        <v>1.0029999999999999</v>
      </c>
      <c r="H243" s="1"/>
    </row>
    <row r="244" spans="1:8" x14ac:dyDescent="0.35">
      <c r="A244" s="1">
        <v>38882.725694444445</v>
      </c>
      <c r="B244">
        <v>0.77800000000000002</v>
      </c>
      <c r="C244">
        <f t="shared" si="12"/>
        <v>2</v>
      </c>
      <c r="D244">
        <f t="shared" si="13"/>
        <v>2</v>
      </c>
      <c r="E244">
        <f t="shared" si="14"/>
        <v>0.91700000000000004</v>
      </c>
      <c r="F244">
        <f t="shared" si="15"/>
        <v>1.6950000000000001</v>
      </c>
      <c r="H244" s="1"/>
    </row>
    <row r="245" spans="1:8" x14ac:dyDescent="0.35">
      <c r="A245" s="1">
        <v>38882.725694444445</v>
      </c>
      <c r="B245">
        <v>0.91700000000000004</v>
      </c>
      <c r="C245">
        <f t="shared" si="12"/>
        <v>1</v>
      </c>
      <c r="D245">
        <f t="shared" si="13"/>
        <v>0</v>
      </c>
      <c r="E245">
        <f t="shared" si="14"/>
        <v>0</v>
      </c>
      <c r="F245">
        <f t="shared" si="15"/>
        <v>0</v>
      </c>
      <c r="H245" s="1"/>
    </row>
    <row r="246" spans="1:8" x14ac:dyDescent="0.35">
      <c r="A246" s="1">
        <v>38883.118055555555</v>
      </c>
      <c r="B246">
        <v>4.3479999999999999</v>
      </c>
      <c r="C246">
        <f t="shared" si="12"/>
        <v>1</v>
      </c>
      <c r="D246">
        <f t="shared" si="13"/>
        <v>1</v>
      </c>
      <c r="E246">
        <f t="shared" si="14"/>
        <v>4.3479999999999999</v>
      </c>
      <c r="F246">
        <f t="shared" si="15"/>
        <v>4.3479999999999999</v>
      </c>
      <c r="H246" s="1"/>
    </row>
    <row r="247" spans="1:8" x14ac:dyDescent="0.35">
      <c r="A247" s="1">
        <v>38883.631944444445</v>
      </c>
      <c r="B247">
        <v>1.746</v>
      </c>
      <c r="C247">
        <f t="shared" si="12"/>
        <v>2</v>
      </c>
      <c r="D247">
        <f t="shared" si="13"/>
        <v>2</v>
      </c>
      <c r="E247">
        <f t="shared" si="14"/>
        <v>4.556</v>
      </c>
      <c r="F247">
        <f t="shared" si="15"/>
        <v>6.3019999999999996</v>
      </c>
      <c r="H247" s="1"/>
    </row>
    <row r="248" spans="1:8" x14ac:dyDescent="0.35">
      <c r="A248" s="1">
        <v>38883.631944444445</v>
      </c>
      <c r="B248">
        <v>4.556</v>
      </c>
      <c r="C248">
        <f t="shared" si="12"/>
        <v>1</v>
      </c>
      <c r="D248">
        <f t="shared" si="13"/>
        <v>0</v>
      </c>
      <c r="E248">
        <f t="shared" si="14"/>
        <v>0</v>
      </c>
      <c r="F248">
        <f t="shared" si="15"/>
        <v>0</v>
      </c>
      <c r="H248" s="1"/>
    </row>
    <row r="249" spans="1:8" x14ac:dyDescent="0.35">
      <c r="A249" s="1">
        <v>38883.753472222219</v>
      </c>
      <c r="B249">
        <v>1.135</v>
      </c>
      <c r="C249">
        <f t="shared" si="12"/>
        <v>4</v>
      </c>
      <c r="D249">
        <f t="shared" si="13"/>
        <v>4</v>
      </c>
      <c r="E249">
        <f t="shared" si="14"/>
        <v>3.1419999999999999</v>
      </c>
      <c r="F249">
        <f t="shared" si="15"/>
        <v>6.1349999999999998</v>
      </c>
      <c r="H249" s="1"/>
    </row>
    <row r="250" spans="1:8" x14ac:dyDescent="0.35">
      <c r="A250" s="1">
        <v>38883.753472222219</v>
      </c>
      <c r="B250">
        <v>0.91</v>
      </c>
      <c r="C250">
        <f t="shared" si="12"/>
        <v>3</v>
      </c>
      <c r="D250">
        <f t="shared" si="13"/>
        <v>0</v>
      </c>
      <c r="E250">
        <f t="shared" si="14"/>
        <v>0</v>
      </c>
      <c r="F250">
        <f t="shared" si="15"/>
        <v>0</v>
      </c>
      <c r="H250" s="1"/>
    </row>
    <row r="251" spans="1:8" x14ac:dyDescent="0.35">
      <c r="A251" s="1">
        <v>38883.753472222219</v>
      </c>
      <c r="B251">
        <v>3.1419999999999999</v>
      </c>
      <c r="C251">
        <f t="shared" si="12"/>
        <v>2</v>
      </c>
      <c r="D251">
        <f t="shared" si="13"/>
        <v>0</v>
      </c>
      <c r="E251">
        <f t="shared" si="14"/>
        <v>0</v>
      </c>
      <c r="F251">
        <f t="shared" si="15"/>
        <v>0</v>
      </c>
      <c r="H251" s="1"/>
    </row>
    <row r="252" spans="1:8" x14ac:dyDescent="0.35">
      <c r="A252" s="1">
        <v>38883.753472222219</v>
      </c>
      <c r="B252">
        <v>0.94799999999999995</v>
      </c>
      <c r="C252">
        <f t="shared" si="12"/>
        <v>1</v>
      </c>
      <c r="D252">
        <f t="shared" si="13"/>
        <v>0</v>
      </c>
      <c r="E252">
        <f t="shared" si="14"/>
        <v>0</v>
      </c>
      <c r="F252">
        <f t="shared" si="15"/>
        <v>0</v>
      </c>
      <c r="H252" s="1"/>
    </row>
    <row r="253" spans="1:8" x14ac:dyDescent="0.35">
      <c r="A253" s="1">
        <v>38885.621527777781</v>
      </c>
      <c r="B253">
        <v>3.16</v>
      </c>
      <c r="C253">
        <f t="shared" si="12"/>
        <v>2</v>
      </c>
      <c r="D253">
        <f t="shared" si="13"/>
        <v>2</v>
      </c>
      <c r="E253">
        <f t="shared" si="14"/>
        <v>3.16</v>
      </c>
      <c r="F253">
        <f t="shared" si="15"/>
        <v>5.29</v>
      </c>
      <c r="H253" s="1"/>
    </row>
    <row r="254" spans="1:8" x14ac:dyDescent="0.35">
      <c r="A254" s="1">
        <v>38885.621527777781</v>
      </c>
      <c r="B254">
        <v>2.13</v>
      </c>
      <c r="C254">
        <f t="shared" si="12"/>
        <v>1</v>
      </c>
      <c r="D254">
        <f t="shared" si="13"/>
        <v>0</v>
      </c>
      <c r="E254">
        <f t="shared" si="14"/>
        <v>0</v>
      </c>
      <c r="F254">
        <f t="shared" si="15"/>
        <v>0</v>
      </c>
      <c r="H254" s="1"/>
    </row>
    <row r="255" spans="1:8" x14ac:dyDescent="0.35">
      <c r="A255" s="1">
        <v>38885.746527777781</v>
      </c>
      <c r="B255">
        <v>0.88500000000000001</v>
      </c>
      <c r="C255">
        <f t="shared" si="12"/>
        <v>4</v>
      </c>
      <c r="D255">
        <f t="shared" si="13"/>
        <v>4</v>
      </c>
      <c r="E255">
        <f t="shared" si="14"/>
        <v>1.093</v>
      </c>
      <c r="F255">
        <f t="shared" si="15"/>
        <v>3.6480000000000001</v>
      </c>
      <c r="H255" s="1"/>
    </row>
    <row r="256" spans="1:8" x14ac:dyDescent="0.35">
      <c r="A256" s="1">
        <v>38885.746527777781</v>
      </c>
      <c r="B256">
        <v>0.77800000000000002</v>
      </c>
      <c r="C256">
        <f t="shared" si="12"/>
        <v>3</v>
      </c>
      <c r="D256">
        <f t="shared" si="13"/>
        <v>0</v>
      </c>
      <c r="E256">
        <f t="shared" si="14"/>
        <v>0</v>
      </c>
      <c r="F256">
        <f t="shared" si="15"/>
        <v>0</v>
      </c>
      <c r="H256" s="1"/>
    </row>
    <row r="257" spans="1:8" x14ac:dyDescent="0.35">
      <c r="A257" s="1">
        <v>38885.746527777781</v>
      </c>
      <c r="B257">
        <v>0.89200000000000002</v>
      </c>
      <c r="C257">
        <f t="shared" si="12"/>
        <v>2</v>
      </c>
      <c r="D257">
        <f t="shared" si="13"/>
        <v>0</v>
      </c>
      <c r="E257">
        <f t="shared" si="14"/>
        <v>0</v>
      </c>
      <c r="F257">
        <f t="shared" si="15"/>
        <v>0</v>
      </c>
      <c r="H257" s="1"/>
    </row>
    <row r="258" spans="1:8" x14ac:dyDescent="0.35">
      <c r="A258" s="1">
        <v>38885.746527777781</v>
      </c>
      <c r="B258">
        <v>1.093</v>
      </c>
      <c r="C258">
        <f t="shared" si="12"/>
        <v>1</v>
      </c>
      <c r="D258">
        <f t="shared" si="13"/>
        <v>0</v>
      </c>
      <c r="E258">
        <f t="shared" si="14"/>
        <v>0</v>
      </c>
      <c r="F258">
        <f t="shared" si="15"/>
        <v>0</v>
      </c>
      <c r="H258" s="1"/>
    </row>
    <row r="259" spans="1:8" x14ac:dyDescent="0.35">
      <c r="A259" s="1">
        <v>38887.614583333336</v>
      </c>
      <c r="B259">
        <v>1.343</v>
      </c>
      <c r="C259">
        <f t="shared" ref="C259:C322" si="16">IF(A259=A260,IF(A259=A261,IF(A259=A262,IF(A259=A263,IF(A259=A264,IF(A259=A265,IF(A259=A266,IF(A259=A267,9,8),7),6),5),4),3),2),1)</f>
        <v>1</v>
      </c>
      <c r="D259">
        <f t="shared" ref="D259:D322" si="17">IF(C258&gt;1,0,C259)</f>
        <v>1</v>
      </c>
      <c r="E259">
        <f t="shared" ref="E259:E322" si="18">IF(D259=1,B259,IF(D259=2,MAX(B259:B260),IF(D259=3,MAX(B259:B261),IF(D259=4,MAX(B259:B262),IF(D259=5,MAX(B259:B263),IF(D259=6,MAX(B259:B264),IF(D259=7,MAX(B259:B265),IF(D259=3,MAX(B259:B266),IF(D259=9,MAX(B259:B267),0)))))))))</f>
        <v>1.343</v>
      </c>
      <c r="F259">
        <f t="shared" ref="F259:F322" si="19">IF(D259=1,B259,IF(D259=2,SUM(B259:B260),IF(D259=3,SUM(B259:B261),IF(D259=4,SUM(B259:B262),IF(D259=5,SUM(B259:B263),IF(D259=6,SUM(B259:B264),IF(D259=7,SUM(B259:B265),IF(D259=8,SUM(B259:B266),IF(D259=9,SUM(B259:B267),0)))))))))</f>
        <v>1.343</v>
      </c>
      <c r="H259" s="1"/>
    </row>
    <row r="260" spans="1:8" x14ac:dyDescent="0.35">
      <c r="A260" s="1">
        <v>38887.739583333336</v>
      </c>
      <c r="B260">
        <v>0.90600000000000003</v>
      </c>
      <c r="C260">
        <f t="shared" si="16"/>
        <v>2</v>
      </c>
      <c r="D260">
        <f t="shared" si="17"/>
        <v>2</v>
      </c>
      <c r="E260">
        <f t="shared" si="18"/>
        <v>1.8080000000000001</v>
      </c>
      <c r="F260">
        <f t="shared" si="19"/>
        <v>2.714</v>
      </c>
      <c r="H260" s="1"/>
    </row>
    <row r="261" spans="1:8" x14ac:dyDescent="0.35">
      <c r="A261" s="1">
        <v>38887.739583333336</v>
      </c>
      <c r="B261">
        <v>1.8080000000000001</v>
      </c>
      <c r="C261">
        <f t="shared" si="16"/>
        <v>1</v>
      </c>
      <c r="D261">
        <f t="shared" si="17"/>
        <v>0</v>
      </c>
      <c r="E261">
        <f t="shared" si="18"/>
        <v>0</v>
      </c>
      <c r="F261">
        <f t="shared" si="19"/>
        <v>0</v>
      </c>
      <c r="H261" s="1"/>
    </row>
    <row r="262" spans="1:8" x14ac:dyDescent="0.35">
      <c r="A262" s="1">
        <v>38888.642361111109</v>
      </c>
      <c r="B262">
        <v>1.151</v>
      </c>
      <c r="C262">
        <f t="shared" si="16"/>
        <v>3</v>
      </c>
      <c r="D262">
        <f t="shared" si="17"/>
        <v>3</v>
      </c>
      <c r="E262">
        <f t="shared" si="18"/>
        <v>1.34</v>
      </c>
      <c r="F262">
        <f t="shared" si="19"/>
        <v>3.6609999999999996</v>
      </c>
      <c r="H262" s="1"/>
    </row>
    <row r="263" spans="1:8" x14ac:dyDescent="0.35">
      <c r="A263" s="1">
        <v>38888.642361111109</v>
      </c>
      <c r="B263">
        <v>1.17</v>
      </c>
      <c r="C263">
        <f t="shared" si="16"/>
        <v>2</v>
      </c>
      <c r="D263">
        <f t="shared" si="17"/>
        <v>0</v>
      </c>
      <c r="E263">
        <f t="shared" si="18"/>
        <v>0</v>
      </c>
      <c r="F263">
        <f t="shared" si="19"/>
        <v>0</v>
      </c>
      <c r="H263" s="1"/>
    </row>
    <row r="264" spans="1:8" x14ac:dyDescent="0.35">
      <c r="A264" s="1">
        <v>38888.642361111109</v>
      </c>
      <c r="B264">
        <v>1.34</v>
      </c>
      <c r="C264">
        <f t="shared" si="16"/>
        <v>1</v>
      </c>
      <c r="D264">
        <f t="shared" si="17"/>
        <v>0</v>
      </c>
      <c r="E264">
        <f t="shared" si="18"/>
        <v>0</v>
      </c>
      <c r="F264">
        <f t="shared" si="19"/>
        <v>0</v>
      </c>
      <c r="H264" s="1"/>
    </row>
    <row r="265" spans="1:8" x14ac:dyDescent="0.35">
      <c r="A265" s="1">
        <v>38890.635416666664</v>
      </c>
      <c r="B265">
        <v>2.1110000000000002</v>
      </c>
      <c r="C265">
        <f t="shared" si="16"/>
        <v>2</v>
      </c>
      <c r="D265">
        <f t="shared" si="17"/>
        <v>2</v>
      </c>
      <c r="E265">
        <f t="shared" si="18"/>
        <v>4.8550000000000004</v>
      </c>
      <c r="F265">
        <f t="shared" si="19"/>
        <v>6.9660000000000011</v>
      </c>
      <c r="H265" s="1"/>
    </row>
    <row r="266" spans="1:8" x14ac:dyDescent="0.35">
      <c r="A266" s="1">
        <v>38890.635416666664</v>
      </c>
      <c r="B266">
        <v>4.8550000000000004</v>
      </c>
      <c r="C266">
        <f t="shared" si="16"/>
        <v>1</v>
      </c>
      <c r="D266">
        <f t="shared" si="17"/>
        <v>0</v>
      </c>
      <c r="E266">
        <f t="shared" si="18"/>
        <v>0</v>
      </c>
      <c r="F266">
        <f t="shared" si="19"/>
        <v>0</v>
      </c>
      <c r="H266" s="1"/>
    </row>
    <row r="267" spans="1:8" x14ac:dyDescent="0.35">
      <c r="A267" s="1">
        <v>38890.760416666664</v>
      </c>
      <c r="B267">
        <v>1.756</v>
      </c>
      <c r="C267">
        <f t="shared" si="16"/>
        <v>2</v>
      </c>
      <c r="D267">
        <f t="shared" si="17"/>
        <v>2</v>
      </c>
      <c r="E267">
        <f t="shared" si="18"/>
        <v>3.149</v>
      </c>
      <c r="F267">
        <f t="shared" si="19"/>
        <v>4.9050000000000002</v>
      </c>
      <c r="H267" s="1"/>
    </row>
    <row r="268" spans="1:8" x14ac:dyDescent="0.35">
      <c r="A268" s="1">
        <v>38890.760416666664</v>
      </c>
      <c r="B268">
        <v>3.149</v>
      </c>
      <c r="C268">
        <f t="shared" si="16"/>
        <v>1</v>
      </c>
      <c r="D268">
        <f t="shared" si="17"/>
        <v>0</v>
      </c>
      <c r="E268">
        <f t="shared" si="18"/>
        <v>0</v>
      </c>
      <c r="F268">
        <f t="shared" si="19"/>
        <v>0</v>
      </c>
      <c r="H268" s="1"/>
    </row>
    <row r="269" spans="1:8" x14ac:dyDescent="0.35">
      <c r="A269" s="1">
        <v>38892.625</v>
      </c>
      <c r="B269">
        <v>0.78900000000000003</v>
      </c>
      <c r="C269">
        <f t="shared" si="16"/>
        <v>2</v>
      </c>
      <c r="D269">
        <f t="shared" si="17"/>
        <v>2</v>
      </c>
      <c r="E269">
        <f t="shared" si="18"/>
        <v>1.0880000000000001</v>
      </c>
      <c r="F269">
        <f t="shared" si="19"/>
        <v>1.8770000000000002</v>
      </c>
      <c r="H269" s="1"/>
    </row>
    <row r="270" spans="1:8" x14ac:dyDescent="0.35">
      <c r="A270" s="1">
        <v>38892.625</v>
      </c>
      <c r="B270">
        <v>1.0880000000000001</v>
      </c>
      <c r="C270">
        <f t="shared" si="16"/>
        <v>1</v>
      </c>
      <c r="D270">
        <f t="shared" si="17"/>
        <v>0</v>
      </c>
      <c r="E270">
        <f t="shared" si="18"/>
        <v>0</v>
      </c>
      <c r="F270">
        <f t="shared" si="19"/>
        <v>0</v>
      </c>
      <c r="H270" s="1"/>
    </row>
    <row r="271" spans="1:8" x14ac:dyDescent="0.35">
      <c r="A271" s="1">
        <v>38892.75</v>
      </c>
      <c r="B271">
        <v>1.107</v>
      </c>
      <c r="C271">
        <f t="shared" si="16"/>
        <v>1</v>
      </c>
      <c r="D271">
        <f t="shared" si="17"/>
        <v>1</v>
      </c>
      <c r="E271">
        <f t="shared" si="18"/>
        <v>1.107</v>
      </c>
      <c r="F271">
        <f t="shared" si="19"/>
        <v>1.107</v>
      </c>
      <c r="H271" s="1"/>
    </row>
    <row r="272" spans="1:8" x14ac:dyDescent="0.35">
      <c r="A272" s="1">
        <v>38894.618055555555</v>
      </c>
      <c r="B272">
        <v>0.98699999999999999</v>
      </c>
      <c r="C272">
        <f t="shared" si="16"/>
        <v>1</v>
      </c>
      <c r="D272">
        <f t="shared" si="17"/>
        <v>1</v>
      </c>
      <c r="E272">
        <f t="shared" si="18"/>
        <v>0.98699999999999999</v>
      </c>
      <c r="F272">
        <f t="shared" si="19"/>
        <v>0.98699999999999999</v>
      </c>
      <c r="H272" s="1"/>
    </row>
    <row r="273" spans="1:8" x14ac:dyDescent="0.35">
      <c r="A273" s="1">
        <v>38894.743055555555</v>
      </c>
      <c r="B273">
        <v>1.4990000000000001</v>
      </c>
      <c r="C273">
        <f t="shared" si="16"/>
        <v>1</v>
      </c>
      <c r="D273">
        <f t="shared" si="17"/>
        <v>1</v>
      </c>
      <c r="E273">
        <f t="shared" si="18"/>
        <v>1.4990000000000001</v>
      </c>
      <c r="F273">
        <f t="shared" si="19"/>
        <v>1.4990000000000001</v>
      </c>
      <c r="H273" s="1"/>
    </row>
    <row r="274" spans="1:8" x14ac:dyDescent="0.35">
      <c r="A274" s="1">
        <v>38895.645833333336</v>
      </c>
      <c r="B274">
        <v>1.091</v>
      </c>
      <c r="C274">
        <f t="shared" si="16"/>
        <v>2</v>
      </c>
      <c r="D274">
        <f t="shared" si="17"/>
        <v>2</v>
      </c>
      <c r="E274">
        <f t="shared" si="18"/>
        <v>1.091</v>
      </c>
      <c r="F274">
        <f t="shared" si="19"/>
        <v>2.012</v>
      </c>
      <c r="H274" s="1"/>
    </row>
    <row r="275" spans="1:8" x14ac:dyDescent="0.35">
      <c r="A275" s="1">
        <v>38895.645833333336</v>
      </c>
      <c r="B275">
        <v>0.92100000000000004</v>
      </c>
      <c r="C275">
        <f t="shared" si="16"/>
        <v>1</v>
      </c>
      <c r="D275">
        <f t="shared" si="17"/>
        <v>0</v>
      </c>
      <c r="E275">
        <f t="shared" si="18"/>
        <v>0</v>
      </c>
      <c r="F275">
        <f t="shared" si="19"/>
        <v>0</v>
      </c>
      <c r="H275" s="1"/>
    </row>
    <row r="276" spans="1:8" x14ac:dyDescent="0.35">
      <c r="A276" s="1">
        <v>38895.770833333336</v>
      </c>
      <c r="B276">
        <v>0.79500000000000004</v>
      </c>
      <c r="C276">
        <f t="shared" si="16"/>
        <v>1</v>
      </c>
      <c r="D276">
        <f t="shared" si="17"/>
        <v>1</v>
      </c>
      <c r="E276">
        <f t="shared" si="18"/>
        <v>0.79500000000000004</v>
      </c>
      <c r="F276">
        <f t="shared" si="19"/>
        <v>0.79500000000000004</v>
      </c>
      <c r="H276" s="1"/>
    </row>
    <row r="277" spans="1:8" x14ac:dyDescent="0.35">
      <c r="A277" s="1">
        <v>38896.607638888891</v>
      </c>
      <c r="B277">
        <v>1.982</v>
      </c>
      <c r="C277">
        <f t="shared" si="16"/>
        <v>2</v>
      </c>
      <c r="D277">
        <f t="shared" si="17"/>
        <v>2</v>
      </c>
      <c r="E277">
        <f t="shared" si="18"/>
        <v>2.3730000000000002</v>
      </c>
      <c r="F277">
        <f t="shared" si="19"/>
        <v>4.3550000000000004</v>
      </c>
      <c r="H277" s="1"/>
    </row>
    <row r="278" spans="1:8" x14ac:dyDescent="0.35">
      <c r="A278" s="1">
        <v>38896.607638888891</v>
      </c>
      <c r="B278">
        <v>2.3730000000000002</v>
      </c>
      <c r="C278">
        <f t="shared" si="16"/>
        <v>1</v>
      </c>
      <c r="D278">
        <f t="shared" si="17"/>
        <v>0</v>
      </c>
      <c r="E278">
        <f t="shared" si="18"/>
        <v>0</v>
      </c>
      <c r="F278">
        <f t="shared" si="19"/>
        <v>0</v>
      </c>
      <c r="H278" s="1"/>
    </row>
    <row r="279" spans="1:8" x14ac:dyDescent="0.35">
      <c r="A279" s="1">
        <v>38896.732638888891</v>
      </c>
      <c r="B279">
        <v>0.91300000000000003</v>
      </c>
      <c r="C279">
        <f t="shared" si="16"/>
        <v>2</v>
      </c>
      <c r="D279">
        <f t="shared" si="17"/>
        <v>2</v>
      </c>
      <c r="E279">
        <f t="shared" si="18"/>
        <v>2.452</v>
      </c>
      <c r="F279">
        <f t="shared" si="19"/>
        <v>3.3650000000000002</v>
      </c>
      <c r="H279" s="1"/>
    </row>
    <row r="280" spans="1:8" x14ac:dyDescent="0.35">
      <c r="A280" s="1">
        <v>38896.732638888891</v>
      </c>
      <c r="B280">
        <v>2.452</v>
      </c>
      <c r="C280">
        <f t="shared" si="16"/>
        <v>1</v>
      </c>
      <c r="D280">
        <f t="shared" si="17"/>
        <v>0</v>
      </c>
      <c r="E280">
        <f t="shared" si="18"/>
        <v>0</v>
      </c>
      <c r="F280">
        <f t="shared" si="19"/>
        <v>0</v>
      </c>
      <c r="H280" s="1"/>
    </row>
    <row r="281" spans="1:8" x14ac:dyDescent="0.35">
      <c r="A281" s="1">
        <v>38897.638888888891</v>
      </c>
      <c r="B281">
        <v>1.343</v>
      </c>
      <c r="C281">
        <f t="shared" si="16"/>
        <v>2</v>
      </c>
      <c r="D281">
        <f t="shared" si="17"/>
        <v>2</v>
      </c>
      <c r="E281">
        <f t="shared" si="18"/>
        <v>2.8580000000000001</v>
      </c>
      <c r="F281">
        <f t="shared" si="19"/>
        <v>4.2010000000000005</v>
      </c>
      <c r="H281" s="1"/>
    </row>
    <row r="282" spans="1:8" x14ac:dyDescent="0.35">
      <c r="A282" s="1">
        <v>38897.638888888891</v>
      </c>
      <c r="B282">
        <v>2.8580000000000001</v>
      </c>
      <c r="C282">
        <f t="shared" si="16"/>
        <v>1</v>
      </c>
      <c r="D282">
        <f t="shared" si="17"/>
        <v>0</v>
      </c>
      <c r="E282">
        <f t="shared" si="18"/>
        <v>0</v>
      </c>
      <c r="F282">
        <f t="shared" si="19"/>
        <v>0</v>
      </c>
      <c r="H282" s="1"/>
    </row>
    <row r="283" spans="1:8" x14ac:dyDescent="0.35">
      <c r="A283" s="1">
        <v>38897.763888888891</v>
      </c>
      <c r="B283">
        <v>1.18</v>
      </c>
      <c r="C283">
        <f t="shared" si="16"/>
        <v>2</v>
      </c>
      <c r="D283">
        <f t="shared" si="17"/>
        <v>2</v>
      </c>
      <c r="E283">
        <f t="shared" si="18"/>
        <v>3.5579999999999998</v>
      </c>
      <c r="F283">
        <f t="shared" si="19"/>
        <v>4.7379999999999995</v>
      </c>
      <c r="H283" s="1"/>
    </row>
    <row r="284" spans="1:8" x14ac:dyDescent="0.35">
      <c r="A284" s="1">
        <v>38897.763888888891</v>
      </c>
      <c r="B284">
        <v>3.5579999999999998</v>
      </c>
      <c r="C284">
        <f t="shared" si="16"/>
        <v>1</v>
      </c>
      <c r="D284">
        <f t="shared" si="17"/>
        <v>0</v>
      </c>
      <c r="E284">
        <f t="shared" si="18"/>
        <v>0</v>
      </c>
      <c r="F284">
        <f t="shared" si="19"/>
        <v>0</v>
      </c>
      <c r="H284" s="1"/>
    </row>
    <row r="285" spans="1:8" x14ac:dyDescent="0.35">
      <c r="A285" s="1">
        <v>38899.631944444445</v>
      </c>
      <c r="B285">
        <v>3.3239999999999998</v>
      </c>
      <c r="C285">
        <f t="shared" si="16"/>
        <v>1</v>
      </c>
      <c r="D285">
        <f t="shared" si="17"/>
        <v>1</v>
      </c>
      <c r="E285">
        <f t="shared" si="18"/>
        <v>3.3239999999999998</v>
      </c>
      <c r="F285">
        <f t="shared" si="19"/>
        <v>3.3239999999999998</v>
      </c>
      <c r="H285" s="1"/>
    </row>
    <row r="286" spans="1:8" x14ac:dyDescent="0.35">
      <c r="A286" s="1">
        <v>38899.753472222219</v>
      </c>
      <c r="B286">
        <v>0.97899999999999998</v>
      </c>
      <c r="C286">
        <f t="shared" si="16"/>
        <v>3</v>
      </c>
      <c r="D286">
        <f t="shared" si="17"/>
        <v>3</v>
      </c>
      <c r="E286">
        <f t="shared" si="18"/>
        <v>1.617</v>
      </c>
      <c r="F286">
        <f t="shared" si="19"/>
        <v>3.5960000000000001</v>
      </c>
      <c r="H286" s="1"/>
    </row>
    <row r="287" spans="1:8" x14ac:dyDescent="0.35">
      <c r="A287" s="1">
        <v>38899.753472222219</v>
      </c>
      <c r="B287">
        <v>1.617</v>
      </c>
      <c r="C287">
        <f t="shared" si="16"/>
        <v>2</v>
      </c>
      <c r="D287">
        <f t="shared" si="17"/>
        <v>0</v>
      </c>
      <c r="E287">
        <f t="shared" si="18"/>
        <v>0</v>
      </c>
      <c r="F287">
        <f t="shared" si="19"/>
        <v>0</v>
      </c>
      <c r="H287" s="1"/>
    </row>
    <row r="288" spans="1:8" x14ac:dyDescent="0.35">
      <c r="A288" s="1">
        <v>38899.753472222219</v>
      </c>
      <c r="B288">
        <v>1</v>
      </c>
      <c r="C288">
        <f t="shared" si="16"/>
        <v>1</v>
      </c>
      <c r="D288">
        <f t="shared" si="17"/>
        <v>0</v>
      </c>
      <c r="E288">
        <f t="shared" si="18"/>
        <v>0</v>
      </c>
      <c r="F288">
        <f t="shared" si="19"/>
        <v>0</v>
      </c>
      <c r="H288" s="1"/>
    </row>
    <row r="289" spans="1:8" x14ac:dyDescent="0.35">
      <c r="A289" s="1">
        <v>38901.621527777781</v>
      </c>
      <c r="B289">
        <v>0.82</v>
      </c>
      <c r="C289">
        <f t="shared" si="16"/>
        <v>2</v>
      </c>
      <c r="D289">
        <f t="shared" si="17"/>
        <v>2</v>
      </c>
      <c r="E289">
        <f t="shared" si="18"/>
        <v>1.982</v>
      </c>
      <c r="F289">
        <f t="shared" si="19"/>
        <v>2.802</v>
      </c>
      <c r="H289" s="1"/>
    </row>
    <row r="290" spans="1:8" x14ac:dyDescent="0.35">
      <c r="A290" s="1">
        <v>38901.621527777781</v>
      </c>
      <c r="B290">
        <v>1.982</v>
      </c>
      <c r="C290">
        <f t="shared" si="16"/>
        <v>1</v>
      </c>
      <c r="D290">
        <f t="shared" si="17"/>
        <v>0</v>
      </c>
      <c r="E290">
        <f t="shared" si="18"/>
        <v>0</v>
      </c>
      <c r="F290">
        <f t="shared" si="19"/>
        <v>0</v>
      </c>
      <c r="H290" s="1"/>
    </row>
    <row r="291" spans="1:8" x14ac:dyDescent="0.35">
      <c r="A291" s="1">
        <v>38901.746527777781</v>
      </c>
      <c r="B291">
        <v>0.85799999999999998</v>
      </c>
      <c r="C291">
        <f t="shared" si="16"/>
        <v>3</v>
      </c>
      <c r="D291">
        <f t="shared" si="17"/>
        <v>3</v>
      </c>
      <c r="E291">
        <f t="shared" si="18"/>
        <v>1.139</v>
      </c>
      <c r="F291">
        <f t="shared" si="19"/>
        <v>2.7720000000000002</v>
      </c>
      <c r="H291" s="1"/>
    </row>
    <row r="292" spans="1:8" x14ac:dyDescent="0.35">
      <c r="A292" s="1">
        <v>38901.746527777781</v>
      </c>
      <c r="B292">
        <v>0.77500000000000002</v>
      </c>
      <c r="C292">
        <f t="shared" si="16"/>
        <v>2</v>
      </c>
      <c r="D292">
        <f t="shared" si="17"/>
        <v>0</v>
      </c>
      <c r="E292">
        <f t="shared" si="18"/>
        <v>0</v>
      </c>
      <c r="F292">
        <f t="shared" si="19"/>
        <v>0</v>
      </c>
      <c r="H292" s="1"/>
    </row>
    <row r="293" spans="1:8" x14ac:dyDescent="0.35">
      <c r="A293" s="1">
        <v>38901.746527777781</v>
      </c>
      <c r="B293">
        <v>1.139</v>
      </c>
      <c r="C293">
        <f t="shared" si="16"/>
        <v>1</v>
      </c>
      <c r="D293">
        <f t="shared" si="17"/>
        <v>0</v>
      </c>
      <c r="E293">
        <f t="shared" si="18"/>
        <v>0</v>
      </c>
      <c r="F293">
        <f t="shared" si="19"/>
        <v>0</v>
      </c>
      <c r="H293" s="1"/>
    </row>
    <row r="294" spans="1:8" x14ac:dyDescent="0.35">
      <c r="A294" s="1">
        <v>38903.739583333336</v>
      </c>
      <c r="B294">
        <v>1.4990000000000001</v>
      </c>
      <c r="C294">
        <f t="shared" si="16"/>
        <v>3</v>
      </c>
      <c r="D294">
        <f t="shared" si="17"/>
        <v>3</v>
      </c>
      <c r="E294">
        <f t="shared" si="18"/>
        <v>1.4990000000000001</v>
      </c>
      <c r="F294">
        <f t="shared" si="19"/>
        <v>3.5609999999999999</v>
      </c>
      <c r="H294" s="1"/>
    </row>
    <row r="295" spans="1:8" x14ac:dyDescent="0.35">
      <c r="A295" s="1">
        <v>38903.739583333336</v>
      </c>
      <c r="B295">
        <v>0.79500000000000004</v>
      </c>
      <c r="C295">
        <f t="shared" si="16"/>
        <v>2</v>
      </c>
      <c r="D295">
        <f t="shared" si="17"/>
        <v>0</v>
      </c>
      <c r="E295">
        <f t="shared" si="18"/>
        <v>0</v>
      </c>
      <c r="F295">
        <f t="shared" si="19"/>
        <v>0</v>
      </c>
      <c r="H295" s="1"/>
    </row>
    <row r="296" spans="1:8" x14ac:dyDescent="0.35">
      <c r="A296" s="1">
        <v>38903.739583333336</v>
      </c>
      <c r="B296">
        <v>1.2669999999999999</v>
      </c>
      <c r="C296">
        <f t="shared" si="16"/>
        <v>1</v>
      </c>
      <c r="D296">
        <f t="shared" si="17"/>
        <v>0</v>
      </c>
      <c r="E296">
        <f t="shared" si="18"/>
        <v>0</v>
      </c>
      <c r="F296">
        <f t="shared" si="19"/>
        <v>0</v>
      </c>
      <c r="H296" s="1"/>
    </row>
    <row r="297" spans="1:8" x14ac:dyDescent="0.35">
      <c r="A297" s="1">
        <v>38904.642361111109</v>
      </c>
      <c r="B297">
        <v>1.863</v>
      </c>
      <c r="C297">
        <f t="shared" si="16"/>
        <v>1</v>
      </c>
      <c r="D297">
        <f t="shared" si="17"/>
        <v>1</v>
      </c>
      <c r="E297">
        <f t="shared" si="18"/>
        <v>1.863</v>
      </c>
      <c r="F297">
        <f t="shared" si="19"/>
        <v>1.863</v>
      </c>
      <c r="H297" s="1"/>
    </row>
    <row r="298" spans="1:8" x14ac:dyDescent="0.35">
      <c r="A298" s="1">
        <v>38905.729166666664</v>
      </c>
      <c r="B298">
        <v>0.79200000000000004</v>
      </c>
      <c r="C298">
        <f t="shared" si="16"/>
        <v>1</v>
      </c>
      <c r="D298">
        <f t="shared" si="17"/>
        <v>1</v>
      </c>
      <c r="E298">
        <f t="shared" si="18"/>
        <v>0.79200000000000004</v>
      </c>
      <c r="F298">
        <f t="shared" si="19"/>
        <v>0.79200000000000004</v>
      </c>
      <c r="H298" s="1"/>
    </row>
    <row r="299" spans="1:8" x14ac:dyDescent="0.35">
      <c r="A299" s="1">
        <v>38906.121527777781</v>
      </c>
      <c r="B299">
        <v>3.3180000000000001</v>
      </c>
      <c r="C299">
        <f t="shared" si="16"/>
        <v>1</v>
      </c>
      <c r="D299">
        <f t="shared" si="17"/>
        <v>1</v>
      </c>
      <c r="E299">
        <f t="shared" si="18"/>
        <v>3.3180000000000001</v>
      </c>
      <c r="F299">
        <f t="shared" si="19"/>
        <v>3.3180000000000001</v>
      </c>
      <c r="H299" s="1"/>
    </row>
    <row r="300" spans="1:8" x14ac:dyDescent="0.35">
      <c r="A300" s="1">
        <v>38906.635416666664</v>
      </c>
      <c r="B300">
        <v>1.28</v>
      </c>
      <c r="C300">
        <f t="shared" si="16"/>
        <v>2</v>
      </c>
      <c r="D300">
        <f t="shared" si="17"/>
        <v>2</v>
      </c>
      <c r="E300">
        <f t="shared" si="18"/>
        <v>1.9350000000000001</v>
      </c>
      <c r="F300">
        <f t="shared" si="19"/>
        <v>3.2149999999999999</v>
      </c>
      <c r="H300" s="1"/>
    </row>
    <row r="301" spans="1:8" x14ac:dyDescent="0.35">
      <c r="A301" s="1">
        <v>38906.635416666664</v>
      </c>
      <c r="B301">
        <v>1.9350000000000001</v>
      </c>
      <c r="C301">
        <f t="shared" si="16"/>
        <v>1</v>
      </c>
      <c r="D301">
        <f t="shared" si="17"/>
        <v>0</v>
      </c>
      <c r="E301">
        <f t="shared" si="18"/>
        <v>0</v>
      </c>
      <c r="F301">
        <f t="shared" si="19"/>
        <v>0</v>
      </c>
      <c r="H301" s="1"/>
    </row>
    <row r="302" spans="1:8" x14ac:dyDescent="0.35">
      <c r="A302" s="1">
        <v>38906.760416666664</v>
      </c>
      <c r="B302">
        <v>1.3220000000000001</v>
      </c>
      <c r="C302">
        <f t="shared" si="16"/>
        <v>3</v>
      </c>
      <c r="D302">
        <f t="shared" si="17"/>
        <v>3</v>
      </c>
      <c r="E302">
        <f t="shared" si="18"/>
        <v>2.6150000000000002</v>
      </c>
      <c r="F302">
        <f t="shared" si="19"/>
        <v>5.2</v>
      </c>
      <c r="H302" s="1"/>
    </row>
    <row r="303" spans="1:8" x14ac:dyDescent="0.35">
      <c r="A303" s="1">
        <v>38906.760416666664</v>
      </c>
      <c r="B303">
        <v>1.2629999999999999</v>
      </c>
      <c r="C303">
        <f t="shared" si="16"/>
        <v>2</v>
      </c>
      <c r="D303">
        <f t="shared" si="17"/>
        <v>0</v>
      </c>
      <c r="E303">
        <f t="shared" si="18"/>
        <v>0</v>
      </c>
      <c r="F303">
        <f t="shared" si="19"/>
        <v>0</v>
      </c>
      <c r="H303" s="1"/>
    </row>
    <row r="304" spans="1:8" x14ac:dyDescent="0.35">
      <c r="A304" s="1">
        <v>38906.760416666664</v>
      </c>
      <c r="B304">
        <v>2.6150000000000002</v>
      </c>
      <c r="C304">
        <f t="shared" si="16"/>
        <v>1</v>
      </c>
      <c r="D304">
        <f t="shared" si="17"/>
        <v>0</v>
      </c>
      <c r="E304">
        <f t="shared" si="18"/>
        <v>0</v>
      </c>
      <c r="F304">
        <f t="shared" si="19"/>
        <v>0</v>
      </c>
      <c r="H304" s="1"/>
    </row>
    <row r="305" spans="1:8" x14ac:dyDescent="0.35">
      <c r="A305" s="1">
        <v>38908.625</v>
      </c>
      <c r="B305">
        <v>1.4910000000000001</v>
      </c>
      <c r="C305">
        <f t="shared" si="16"/>
        <v>1</v>
      </c>
      <c r="D305">
        <f t="shared" si="17"/>
        <v>1</v>
      </c>
      <c r="E305">
        <f t="shared" si="18"/>
        <v>1.4910000000000001</v>
      </c>
      <c r="F305">
        <f t="shared" si="19"/>
        <v>1.4910000000000001</v>
      </c>
      <c r="H305" s="1"/>
    </row>
    <row r="306" spans="1:8" x14ac:dyDescent="0.35">
      <c r="A306" s="1">
        <v>38908.75</v>
      </c>
      <c r="B306">
        <v>1.5680000000000001</v>
      </c>
      <c r="C306">
        <f t="shared" si="16"/>
        <v>2</v>
      </c>
      <c r="D306">
        <f t="shared" si="17"/>
        <v>2</v>
      </c>
      <c r="E306">
        <f t="shared" si="18"/>
        <v>1.9079999999999999</v>
      </c>
      <c r="F306">
        <f t="shared" si="19"/>
        <v>3.476</v>
      </c>
      <c r="H306" s="1"/>
    </row>
    <row r="307" spans="1:8" x14ac:dyDescent="0.35">
      <c r="A307" s="1">
        <v>38908.75</v>
      </c>
      <c r="B307">
        <v>1.9079999999999999</v>
      </c>
      <c r="C307">
        <f t="shared" si="16"/>
        <v>1</v>
      </c>
      <c r="D307">
        <f t="shared" si="17"/>
        <v>0</v>
      </c>
      <c r="E307">
        <f t="shared" si="18"/>
        <v>0</v>
      </c>
      <c r="F307">
        <f t="shared" si="19"/>
        <v>0</v>
      </c>
      <c r="H307" s="1"/>
    </row>
    <row r="308" spans="1:8" x14ac:dyDescent="0.35">
      <c r="A308" s="1">
        <v>38910.618055555555</v>
      </c>
      <c r="B308">
        <v>0.76300000000000001</v>
      </c>
      <c r="C308">
        <f t="shared" si="16"/>
        <v>1</v>
      </c>
      <c r="D308">
        <f t="shared" si="17"/>
        <v>1</v>
      </c>
      <c r="E308">
        <f t="shared" si="18"/>
        <v>0.76300000000000001</v>
      </c>
      <c r="F308">
        <f t="shared" si="19"/>
        <v>0.76300000000000001</v>
      </c>
      <c r="H308" s="1"/>
    </row>
    <row r="309" spans="1:8" x14ac:dyDescent="0.35">
      <c r="A309" s="1">
        <v>38910.743055555555</v>
      </c>
      <c r="B309">
        <v>0.77800000000000002</v>
      </c>
      <c r="C309">
        <f t="shared" si="16"/>
        <v>1</v>
      </c>
      <c r="D309">
        <f t="shared" si="17"/>
        <v>1</v>
      </c>
      <c r="E309">
        <f t="shared" si="18"/>
        <v>0.77800000000000002</v>
      </c>
      <c r="F309">
        <f t="shared" si="19"/>
        <v>0.77800000000000002</v>
      </c>
      <c r="H309" s="1"/>
    </row>
    <row r="310" spans="1:8" x14ac:dyDescent="0.35">
      <c r="A310" s="1">
        <v>38913.638888888891</v>
      </c>
      <c r="B310">
        <v>0.68799999999999994</v>
      </c>
      <c r="C310">
        <f t="shared" si="16"/>
        <v>1</v>
      </c>
      <c r="D310">
        <f t="shared" si="17"/>
        <v>1</v>
      </c>
      <c r="E310">
        <f t="shared" si="18"/>
        <v>0.68799999999999994</v>
      </c>
      <c r="F310">
        <f t="shared" si="19"/>
        <v>0.68799999999999994</v>
      </c>
      <c r="H310" s="1"/>
    </row>
    <row r="311" spans="1:8" x14ac:dyDescent="0.35">
      <c r="A311" s="1">
        <v>38913.763888888891</v>
      </c>
      <c r="B311">
        <v>0.85399999999999998</v>
      </c>
      <c r="C311">
        <f t="shared" si="16"/>
        <v>1</v>
      </c>
      <c r="D311">
        <f t="shared" si="17"/>
        <v>1</v>
      </c>
      <c r="E311">
        <f t="shared" si="18"/>
        <v>0.85399999999999998</v>
      </c>
      <c r="F311">
        <f t="shared" si="19"/>
        <v>0.85399999999999998</v>
      </c>
      <c r="H311" s="1"/>
    </row>
    <row r="312" spans="1:8" x14ac:dyDescent="0.35">
      <c r="A312" s="1">
        <v>38915.631944444445</v>
      </c>
      <c r="B312">
        <v>2.5459999999999998</v>
      </c>
      <c r="C312">
        <f t="shared" si="16"/>
        <v>1</v>
      </c>
      <c r="D312">
        <f t="shared" si="17"/>
        <v>1</v>
      </c>
      <c r="E312">
        <f t="shared" si="18"/>
        <v>2.5459999999999998</v>
      </c>
      <c r="F312">
        <f t="shared" si="19"/>
        <v>2.5459999999999998</v>
      </c>
      <c r="H312" s="1"/>
    </row>
    <row r="313" spans="1:8" x14ac:dyDescent="0.35">
      <c r="A313" s="1">
        <v>38915.756944444445</v>
      </c>
      <c r="B313">
        <v>0.85099999999999998</v>
      </c>
      <c r="C313">
        <f t="shared" si="16"/>
        <v>1</v>
      </c>
      <c r="D313">
        <f t="shared" si="17"/>
        <v>1</v>
      </c>
      <c r="E313">
        <f t="shared" si="18"/>
        <v>0.85099999999999998</v>
      </c>
      <c r="F313">
        <f t="shared" si="19"/>
        <v>0.85099999999999998</v>
      </c>
      <c r="H313" s="1"/>
    </row>
    <row r="314" spans="1:8" x14ac:dyDescent="0.35">
      <c r="A314" s="1">
        <v>38917.621527777781</v>
      </c>
      <c r="B314">
        <v>1.5569999999999999</v>
      </c>
      <c r="C314">
        <f t="shared" si="16"/>
        <v>2</v>
      </c>
      <c r="D314">
        <f t="shared" si="17"/>
        <v>2</v>
      </c>
      <c r="E314">
        <f t="shared" si="18"/>
        <v>1.7649999999999999</v>
      </c>
      <c r="F314">
        <f t="shared" si="19"/>
        <v>3.3220000000000001</v>
      </c>
      <c r="H314" s="1"/>
    </row>
    <row r="315" spans="1:8" x14ac:dyDescent="0.35">
      <c r="A315" s="1">
        <v>38917.621527777781</v>
      </c>
      <c r="B315">
        <v>1.7649999999999999</v>
      </c>
      <c r="C315">
        <f t="shared" si="16"/>
        <v>1</v>
      </c>
      <c r="D315">
        <f t="shared" si="17"/>
        <v>0</v>
      </c>
      <c r="E315">
        <f t="shared" si="18"/>
        <v>0</v>
      </c>
      <c r="F315">
        <f t="shared" si="19"/>
        <v>0</v>
      </c>
      <c r="H315" s="1"/>
    </row>
    <row r="316" spans="1:8" x14ac:dyDescent="0.35">
      <c r="A316" s="1">
        <v>38917.746527777781</v>
      </c>
      <c r="B316">
        <v>0.879</v>
      </c>
      <c r="C316">
        <f t="shared" si="16"/>
        <v>1</v>
      </c>
      <c r="D316">
        <f t="shared" si="17"/>
        <v>1</v>
      </c>
      <c r="E316">
        <f t="shared" si="18"/>
        <v>0.879</v>
      </c>
      <c r="F316">
        <f t="shared" si="19"/>
        <v>0.879</v>
      </c>
      <c r="H316" s="1"/>
    </row>
    <row r="317" spans="1:8" x14ac:dyDescent="0.35">
      <c r="A317" s="1">
        <v>38918.260416666664</v>
      </c>
      <c r="B317">
        <v>3.0630000000000002</v>
      </c>
      <c r="C317">
        <f t="shared" si="16"/>
        <v>1</v>
      </c>
      <c r="D317">
        <f t="shared" si="17"/>
        <v>1</v>
      </c>
      <c r="E317">
        <f t="shared" si="18"/>
        <v>3.0630000000000002</v>
      </c>
      <c r="F317">
        <f t="shared" si="19"/>
        <v>3.0630000000000002</v>
      </c>
      <c r="H317" s="1"/>
    </row>
    <row r="318" spans="1:8" x14ac:dyDescent="0.35">
      <c r="A318" s="1">
        <v>38919.739583333336</v>
      </c>
      <c r="B318">
        <v>0.79900000000000004</v>
      </c>
      <c r="C318">
        <f t="shared" si="16"/>
        <v>1</v>
      </c>
      <c r="D318">
        <f t="shared" si="17"/>
        <v>1</v>
      </c>
      <c r="E318">
        <f t="shared" si="18"/>
        <v>0.79900000000000004</v>
      </c>
      <c r="F318">
        <f t="shared" si="19"/>
        <v>0.79900000000000004</v>
      </c>
      <c r="H318" s="1"/>
    </row>
    <row r="319" spans="1:8" x14ac:dyDescent="0.35">
      <c r="A319" s="1">
        <v>38921.729166666664</v>
      </c>
      <c r="B319">
        <v>0.88200000000000001</v>
      </c>
      <c r="C319">
        <f t="shared" si="16"/>
        <v>1</v>
      </c>
      <c r="D319">
        <f t="shared" si="17"/>
        <v>1</v>
      </c>
      <c r="E319">
        <f t="shared" si="18"/>
        <v>0.88200000000000001</v>
      </c>
      <c r="F319">
        <f t="shared" si="19"/>
        <v>0.88200000000000001</v>
      </c>
      <c r="H319" s="1"/>
    </row>
    <row r="320" spans="1:8" x14ac:dyDescent="0.35">
      <c r="A320" s="1">
        <v>38922.121527777781</v>
      </c>
      <c r="B320">
        <v>2.9929999999999999</v>
      </c>
      <c r="C320">
        <f t="shared" si="16"/>
        <v>1</v>
      </c>
      <c r="D320">
        <f t="shared" si="17"/>
        <v>1</v>
      </c>
      <c r="E320">
        <f t="shared" si="18"/>
        <v>2.9929999999999999</v>
      </c>
      <c r="F320">
        <f t="shared" si="19"/>
        <v>2.9929999999999999</v>
      </c>
      <c r="H320" s="1"/>
    </row>
    <row r="321" spans="1:8" x14ac:dyDescent="0.35">
      <c r="A321" s="1">
        <v>38922.635416666664</v>
      </c>
      <c r="B321">
        <v>3.1669999999999998</v>
      </c>
      <c r="C321">
        <f t="shared" si="16"/>
        <v>1</v>
      </c>
      <c r="D321">
        <f t="shared" si="17"/>
        <v>1</v>
      </c>
      <c r="E321">
        <f t="shared" si="18"/>
        <v>3.1669999999999998</v>
      </c>
      <c r="F321">
        <f t="shared" si="19"/>
        <v>3.1669999999999998</v>
      </c>
      <c r="H321" s="1"/>
    </row>
    <row r="322" spans="1:8" x14ac:dyDescent="0.35">
      <c r="A322" s="1">
        <v>38922.760416666664</v>
      </c>
      <c r="B322">
        <v>0.95099999999999996</v>
      </c>
      <c r="C322">
        <f t="shared" si="16"/>
        <v>2</v>
      </c>
      <c r="D322">
        <f t="shared" si="17"/>
        <v>2</v>
      </c>
      <c r="E322">
        <f t="shared" si="18"/>
        <v>0.98599999999999999</v>
      </c>
      <c r="F322">
        <f t="shared" si="19"/>
        <v>1.9369999999999998</v>
      </c>
      <c r="H322" s="1"/>
    </row>
    <row r="323" spans="1:8" x14ac:dyDescent="0.35">
      <c r="A323" s="1">
        <v>38922.760416666664</v>
      </c>
      <c r="B323">
        <v>0.98599999999999999</v>
      </c>
      <c r="C323">
        <f t="shared" ref="C323:C386" si="20">IF(A323=A324,IF(A323=A325,IF(A323=A326,IF(A323=A327,IF(A323=A328,IF(A323=A329,IF(A323=A330,IF(A323=A331,9,8),7),6),5),4),3),2),1)</f>
        <v>1</v>
      </c>
      <c r="D323">
        <f t="shared" ref="D323:D386" si="21">IF(C322&gt;1,0,C323)</f>
        <v>0</v>
      </c>
      <c r="E323">
        <f t="shared" ref="E323:E368" si="22">IF(D323=1,B323,IF(D323=2,MAX(B323:B324),IF(D323=3,MAX(B323:B325),IF(D323=4,MAX(B323:B326),IF(D323=5,MAX(B323:B327),IF(D323=6,MAX(B323:B328),IF(D323=7,MAX(B323:B329),IF(D323=3,MAX(B323:B330),IF(D323=9,MAX(B323:B331),0)))))))))</f>
        <v>0</v>
      </c>
      <c r="F323">
        <f t="shared" ref="F323:F386" si="23">IF(D323=1,B323,IF(D323=2,SUM(B323:B324),IF(D323=3,SUM(B323:B325),IF(D323=4,SUM(B323:B326),IF(D323=5,SUM(B323:B327),IF(D323=6,SUM(B323:B328),IF(D323=7,SUM(B323:B329),IF(D323=8,SUM(B323:B330),IF(D323=9,SUM(B323:B331),0)))))))))</f>
        <v>0</v>
      </c>
      <c r="H323" s="1"/>
    </row>
    <row r="324" spans="1:8" x14ac:dyDescent="0.35">
      <c r="A324" s="1">
        <v>38924.625</v>
      </c>
      <c r="B324">
        <v>0.90200000000000002</v>
      </c>
      <c r="C324">
        <f t="shared" si="20"/>
        <v>2</v>
      </c>
      <c r="D324">
        <f t="shared" si="21"/>
        <v>2</v>
      </c>
      <c r="E324">
        <f t="shared" si="22"/>
        <v>1.286</v>
      </c>
      <c r="F324">
        <f t="shared" si="23"/>
        <v>2.1880000000000002</v>
      </c>
      <c r="H324" s="1"/>
    </row>
    <row r="325" spans="1:8" x14ac:dyDescent="0.35">
      <c r="A325" s="1">
        <v>38924.625</v>
      </c>
      <c r="B325">
        <v>1.286</v>
      </c>
      <c r="C325">
        <f t="shared" si="20"/>
        <v>1</v>
      </c>
      <c r="D325">
        <f t="shared" si="21"/>
        <v>0</v>
      </c>
      <c r="E325">
        <f t="shared" si="22"/>
        <v>0</v>
      </c>
      <c r="F325">
        <f t="shared" si="23"/>
        <v>0</v>
      </c>
      <c r="H325" s="1"/>
    </row>
    <row r="326" spans="1:8" x14ac:dyDescent="0.35">
      <c r="A326" s="1">
        <v>38924.75</v>
      </c>
      <c r="B326">
        <v>2.452</v>
      </c>
      <c r="C326">
        <f t="shared" si="20"/>
        <v>2</v>
      </c>
      <c r="D326">
        <f t="shared" si="21"/>
        <v>2</v>
      </c>
      <c r="E326">
        <f t="shared" si="22"/>
        <v>2.452</v>
      </c>
      <c r="F326">
        <f t="shared" si="23"/>
        <v>3.7919999999999998</v>
      </c>
      <c r="H326" s="1"/>
    </row>
    <row r="327" spans="1:8" x14ac:dyDescent="0.35">
      <c r="A327" s="1">
        <v>38924.75</v>
      </c>
      <c r="B327">
        <v>1.34</v>
      </c>
      <c r="C327">
        <f t="shared" si="20"/>
        <v>1</v>
      </c>
      <c r="D327">
        <f t="shared" si="21"/>
        <v>0</v>
      </c>
      <c r="E327">
        <f t="shared" si="22"/>
        <v>0</v>
      </c>
      <c r="F327">
        <f t="shared" si="23"/>
        <v>0</v>
      </c>
      <c r="H327" s="1"/>
    </row>
    <row r="328" spans="1:8" x14ac:dyDescent="0.35">
      <c r="A328" s="1">
        <v>38926.743055555555</v>
      </c>
      <c r="B328">
        <v>1.742</v>
      </c>
      <c r="C328">
        <f t="shared" si="20"/>
        <v>1</v>
      </c>
      <c r="D328">
        <f t="shared" si="21"/>
        <v>1</v>
      </c>
      <c r="E328">
        <f t="shared" si="22"/>
        <v>1.742</v>
      </c>
      <c r="F328">
        <f t="shared" si="23"/>
        <v>1.742</v>
      </c>
      <c r="H328" s="1"/>
    </row>
    <row r="329" spans="1:8" x14ac:dyDescent="0.35">
      <c r="A329" s="1">
        <v>38929.638888888891</v>
      </c>
      <c r="B329">
        <v>1.8089999999999999</v>
      </c>
      <c r="C329">
        <f t="shared" si="20"/>
        <v>1</v>
      </c>
      <c r="D329">
        <f t="shared" si="21"/>
        <v>1</v>
      </c>
      <c r="E329">
        <f t="shared" si="22"/>
        <v>1.8089999999999999</v>
      </c>
      <c r="F329">
        <f t="shared" si="23"/>
        <v>1.8089999999999999</v>
      </c>
      <c r="H329" s="1"/>
    </row>
    <row r="330" spans="1:8" x14ac:dyDescent="0.35">
      <c r="A330" s="1">
        <v>38929.763888888891</v>
      </c>
      <c r="B330">
        <v>1.0169999999999999</v>
      </c>
      <c r="C330">
        <f t="shared" si="20"/>
        <v>1</v>
      </c>
      <c r="D330">
        <f t="shared" si="21"/>
        <v>1</v>
      </c>
      <c r="E330">
        <f t="shared" si="22"/>
        <v>1.0169999999999999</v>
      </c>
      <c r="F330">
        <f t="shared" si="23"/>
        <v>1.0169999999999999</v>
      </c>
      <c r="H330" s="1"/>
    </row>
    <row r="331" spans="1:8" x14ac:dyDescent="0.35">
      <c r="A331" s="1">
        <v>38931.631944444445</v>
      </c>
      <c r="B331">
        <v>1.5409999999999999</v>
      </c>
      <c r="C331">
        <f t="shared" si="20"/>
        <v>1</v>
      </c>
      <c r="D331">
        <f t="shared" si="21"/>
        <v>1</v>
      </c>
      <c r="E331">
        <f t="shared" si="22"/>
        <v>1.5409999999999999</v>
      </c>
      <c r="F331">
        <f t="shared" si="23"/>
        <v>1.5409999999999999</v>
      </c>
      <c r="H331" s="1"/>
    </row>
    <row r="332" spans="1:8" x14ac:dyDescent="0.35">
      <c r="A332" s="1">
        <v>38931.756944444445</v>
      </c>
      <c r="B332">
        <v>0.95799999999999996</v>
      </c>
      <c r="C332">
        <f t="shared" si="20"/>
        <v>2</v>
      </c>
      <c r="D332">
        <f t="shared" si="21"/>
        <v>2</v>
      </c>
      <c r="E332">
        <f t="shared" si="22"/>
        <v>0.95799999999999996</v>
      </c>
      <c r="F332">
        <f t="shared" si="23"/>
        <v>1.875</v>
      </c>
      <c r="H332" s="1"/>
    </row>
    <row r="333" spans="1:8" x14ac:dyDescent="0.35">
      <c r="A333" s="1">
        <v>38931.756944444445</v>
      </c>
      <c r="B333">
        <v>0.91700000000000004</v>
      </c>
      <c r="C333">
        <f t="shared" si="20"/>
        <v>1</v>
      </c>
      <c r="D333">
        <f t="shared" si="21"/>
        <v>0</v>
      </c>
      <c r="E333">
        <f t="shared" si="22"/>
        <v>0</v>
      </c>
      <c r="F333">
        <f t="shared" si="23"/>
        <v>0</v>
      </c>
      <c r="H333" s="1"/>
    </row>
    <row r="334" spans="1:8" x14ac:dyDescent="0.35">
      <c r="A334" s="1">
        <v>38933.621527777781</v>
      </c>
      <c r="B334">
        <v>1.075</v>
      </c>
      <c r="C334">
        <f t="shared" si="20"/>
        <v>2</v>
      </c>
      <c r="D334">
        <f t="shared" si="21"/>
        <v>2</v>
      </c>
      <c r="E334">
        <f t="shared" si="22"/>
        <v>1.075</v>
      </c>
      <c r="F334">
        <f t="shared" si="23"/>
        <v>1.9710000000000001</v>
      </c>
      <c r="H334" s="1"/>
    </row>
    <row r="335" spans="1:8" x14ac:dyDescent="0.35">
      <c r="A335" s="1">
        <v>38933.621527777781</v>
      </c>
      <c r="B335">
        <v>0.89600000000000002</v>
      </c>
      <c r="C335">
        <f t="shared" si="20"/>
        <v>1</v>
      </c>
      <c r="D335">
        <f t="shared" si="21"/>
        <v>0</v>
      </c>
      <c r="E335">
        <f t="shared" si="22"/>
        <v>0</v>
      </c>
      <c r="F335">
        <f t="shared" si="23"/>
        <v>0</v>
      </c>
      <c r="H335" s="1"/>
    </row>
    <row r="336" spans="1:8" x14ac:dyDescent="0.35">
      <c r="A336" s="1">
        <v>38933.746527777781</v>
      </c>
      <c r="B336">
        <v>2.3450000000000002</v>
      </c>
      <c r="C336">
        <f t="shared" si="20"/>
        <v>1</v>
      </c>
      <c r="D336">
        <f t="shared" si="21"/>
        <v>1</v>
      </c>
      <c r="E336">
        <f t="shared" si="22"/>
        <v>2.3450000000000002</v>
      </c>
      <c r="F336">
        <f t="shared" si="23"/>
        <v>2.3450000000000002</v>
      </c>
      <c r="H336" s="1"/>
    </row>
    <row r="337" spans="1:8" x14ac:dyDescent="0.35">
      <c r="A337" s="1">
        <v>38935.739583333336</v>
      </c>
      <c r="B337">
        <v>0.78800000000000003</v>
      </c>
      <c r="C337">
        <f t="shared" si="20"/>
        <v>2</v>
      </c>
      <c r="D337">
        <f t="shared" si="21"/>
        <v>2</v>
      </c>
      <c r="E337">
        <f t="shared" si="22"/>
        <v>0.83299999999999996</v>
      </c>
      <c r="F337">
        <f t="shared" si="23"/>
        <v>1.621</v>
      </c>
      <c r="H337" s="1"/>
    </row>
    <row r="338" spans="1:8" x14ac:dyDescent="0.35">
      <c r="A338" s="1">
        <v>38935.739583333336</v>
      </c>
      <c r="B338">
        <v>0.83299999999999996</v>
      </c>
      <c r="C338">
        <f t="shared" si="20"/>
        <v>1</v>
      </c>
      <c r="D338">
        <f t="shared" si="21"/>
        <v>0</v>
      </c>
      <c r="E338">
        <f t="shared" si="22"/>
        <v>0</v>
      </c>
      <c r="F338">
        <f t="shared" si="23"/>
        <v>0</v>
      </c>
      <c r="H338" s="1"/>
    </row>
    <row r="339" spans="1:8" x14ac:dyDescent="0.35">
      <c r="A339" s="1">
        <v>38936.642361111109</v>
      </c>
      <c r="B339">
        <v>1.6930000000000001</v>
      </c>
      <c r="C339">
        <f t="shared" si="20"/>
        <v>2</v>
      </c>
      <c r="D339">
        <f t="shared" si="21"/>
        <v>2</v>
      </c>
      <c r="E339">
        <f t="shared" si="22"/>
        <v>1.6930000000000001</v>
      </c>
      <c r="F339">
        <f t="shared" si="23"/>
        <v>2.6859999999999999</v>
      </c>
      <c r="H339" s="1"/>
    </row>
    <row r="340" spans="1:8" x14ac:dyDescent="0.35">
      <c r="A340" s="1">
        <v>38936.642361111109</v>
      </c>
      <c r="B340">
        <v>0.99299999999999999</v>
      </c>
      <c r="C340">
        <f t="shared" si="20"/>
        <v>1</v>
      </c>
      <c r="D340">
        <f t="shared" si="21"/>
        <v>0</v>
      </c>
      <c r="E340">
        <f t="shared" si="22"/>
        <v>0</v>
      </c>
      <c r="F340">
        <f t="shared" si="23"/>
        <v>0</v>
      </c>
      <c r="H340" s="1"/>
    </row>
    <row r="341" spans="1:8" x14ac:dyDescent="0.35">
      <c r="A341" s="1">
        <v>38937.729166666664</v>
      </c>
      <c r="B341">
        <v>0.86099999999999999</v>
      </c>
      <c r="C341">
        <f t="shared" si="20"/>
        <v>2</v>
      </c>
      <c r="D341">
        <f t="shared" si="21"/>
        <v>2</v>
      </c>
      <c r="E341">
        <f t="shared" si="22"/>
        <v>0.86099999999999999</v>
      </c>
      <c r="F341">
        <f t="shared" si="23"/>
        <v>1.552</v>
      </c>
      <c r="H341" s="1"/>
    </row>
    <row r="342" spans="1:8" x14ac:dyDescent="0.35">
      <c r="A342" s="1">
        <v>38937.729166666664</v>
      </c>
      <c r="B342">
        <v>0.69099999999999995</v>
      </c>
      <c r="C342">
        <f t="shared" si="20"/>
        <v>1</v>
      </c>
      <c r="D342">
        <f t="shared" si="21"/>
        <v>0</v>
      </c>
      <c r="E342">
        <f t="shared" si="22"/>
        <v>0</v>
      </c>
      <c r="F342">
        <f t="shared" si="23"/>
        <v>0</v>
      </c>
      <c r="H342" s="1"/>
    </row>
    <row r="343" spans="1:8" x14ac:dyDescent="0.35">
      <c r="A343" s="1">
        <v>38940.625</v>
      </c>
      <c r="B343">
        <v>0.90500000000000003</v>
      </c>
      <c r="C343">
        <f t="shared" si="20"/>
        <v>1</v>
      </c>
      <c r="D343">
        <f t="shared" si="21"/>
        <v>1</v>
      </c>
      <c r="E343">
        <f t="shared" si="22"/>
        <v>0.90500000000000003</v>
      </c>
      <c r="F343">
        <f t="shared" si="23"/>
        <v>0.90500000000000003</v>
      </c>
      <c r="H343" s="1"/>
    </row>
    <row r="344" spans="1:8" x14ac:dyDescent="0.35">
      <c r="A344" s="1">
        <v>38940.75</v>
      </c>
      <c r="B344">
        <v>0.81299999999999994</v>
      </c>
      <c r="C344">
        <f t="shared" si="20"/>
        <v>1</v>
      </c>
      <c r="D344">
        <f t="shared" si="21"/>
        <v>1</v>
      </c>
      <c r="E344">
        <f t="shared" si="22"/>
        <v>0.81299999999999994</v>
      </c>
      <c r="F344">
        <f t="shared" si="23"/>
        <v>0.81299999999999994</v>
      </c>
      <c r="H344" s="1"/>
    </row>
    <row r="345" spans="1:8" x14ac:dyDescent="0.35">
      <c r="A345" s="1">
        <v>38944.607638888891</v>
      </c>
      <c r="B345">
        <v>0.77300000000000002</v>
      </c>
      <c r="C345">
        <f t="shared" si="20"/>
        <v>2</v>
      </c>
      <c r="D345">
        <f t="shared" si="21"/>
        <v>2</v>
      </c>
      <c r="E345">
        <f t="shared" si="22"/>
        <v>0.82</v>
      </c>
      <c r="F345">
        <f t="shared" si="23"/>
        <v>1.593</v>
      </c>
      <c r="H345" s="1"/>
    </row>
    <row r="346" spans="1:8" x14ac:dyDescent="0.35">
      <c r="A346" s="1">
        <v>38944.607638888891</v>
      </c>
      <c r="B346">
        <v>0.82</v>
      </c>
      <c r="C346">
        <f t="shared" si="20"/>
        <v>1</v>
      </c>
      <c r="D346">
        <f t="shared" si="21"/>
        <v>0</v>
      </c>
      <c r="E346">
        <f t="shared" si="22"/>
        <v>0</v>
      </c>
      <c r="F346">
        <f t="shared" si="23"/>
        <v>0</v>
      </c>
      <c r="H346" s="1"/>
    </row>
    <row r="347" spans="1:8" x14ac:dyDescent="0.35">
      <c r="A347" s="1">
        <v>38945.638888888891</v>
      </c>
      <c r="B347">
        <v>0.82299999999999995</v>
      </c>
      <c r="C347">
        <f t="shared" si="20"/>
        <v>1</v>
      </c>
      <c r="D347">
        <f t="shared" si="21"/>
        <v>1</v>
      </c>
      <c r="E347">
        <f t="shared" si="22"/>
        <v>0.82299999999999995</v>
      </c>
      <c r="F347">
        <f t="shared" si="23"/>
        <v>0.82299999999999995</v>
      </c>
      <c r="H347" s="1"/>
    </row>
    <row r="348" spans="1:8" x14ac:dyDescent="0.35">
      <c r="A348" s="1">
        <v>38947.631944444445</v>
      </c>
      <c r="B348">
        <v>1.236</v>
      </c>
      <c r="C348">
        <f t="shared" si="20"/>
        <v>1</v>
      </c>
      <c r="D348">
        <f t="shared" si="21"/>
        <v>1</v>
      </c>
      <c r="E348">
        <f t="shared" si="22"/>
        <v>1.236</v>
      </c>
      <c r="F348">
        <f t="shared" si="23"/>
        <v>1.236</v>
      </c>
      <c r="H348" s="1"/>
    </row>
    <row r="349" spans="1:8" x14ac:dyDescent="0.35">
      <c r="A349" s="1">
        <v>38947.756944444445</v>
      </c>
      <c r="B349">
        <v>1.9810000000000001</v>
      </c>
      <c r="C349">
        <f t="shared" si="20"/>
        <v>1</v>
      </c>
      <c r="D349">
        <f t="shared" si="21"/>
        <v>1</v>
      </c>
      <c r="E349">
        <f t="shared" si="22"/>
        <v>1.9810000000000001</v>
      </c>
      <c r="F349">
        <f t="shared" si="23"/>
        <v>1.9810000000000001</v>
      </c>
      <c r="H349" s="1"/>
    </row>
    <row r="350" spans="1:8" x14ac:dyDescent="0.35">
      <c r="A350" s="1">
        <v>38949.621527777781</v>
      </c>
      <c r="B350">
        <v>0.877</v>
      </c>
      <c r="C350">
        <f t="shared" si="20"/>
        <v>1</v>
      </c>
      <c r="D350">
        <f t="shared" si="21"/>
        <v>1</v>
      </c>
      <c r="E350">
        <f t="shared" si="22"/>
        <v>0.877</v>
      </c>
      <c r="F350">
        <f t="shared" si="23"/>
        <v>0.877</v>
      </c>
      <c r="H350" s="1"/>
    </row>
    <row r="351" spans="1:8" x14ac:dyDescent="0.35">
      <c r="A351" s="1">
        <v>38949.746527777781</v>
      </c>
      <c r="B351">
        <v>1.2430000000000001</v>
      </c>
      <c r="C351">
        <f t="shared" si="20"/>
        <v>1</v>
      </c>
      <c r="D351">
        <f t="shared" si="21"/>
        <v>1</v>
      </c>
      <c r="E351">
        <f t="shared" si="22"/>
        <v>1.2430000000000001</v>
      </c>
      <c r="F351">
        <f t="shared" si="23"/>
        <v>1.2430000000000001</v>
      </c>
      <c r="H351" s="1"/>
    </row>
    <row r="352" spans="1:8" x14ac:dyDescent="0.35">
      <c r="A352" s="1">
        <v>38954.121527777781</v>
      </c>
      <c r="B352">
        <v>3.91</v>
      </c>
      <c r="C352">
        <f t="shared" si="20"/>
        <v>1</v>
      </c>
      <c r="D352">
        <f t="shared" si="21"/>
        <v>1</v>
      </c>
      <c r="E352">
        <f t="shared" si="22"/>
        <v>3.91</v>
      </c>
      <c r="F352">
        <f t="shared" si="23"/>
        <v>3.91</v>
      </c>
      <c r="H352" s="1"/>
    </row>
    <row r="353" spans="1:8" x14ac:dyDescent="0.35">
      <c r="A353" s="1">
        <v>38954.635416666664</v>
      </c>
      <c r="B353">
        <v>0.93700000000000006</v>
      </c>
      <c r="C353">
        <f t="shared" si="20"/>
        <v>1</v>
      </c>
      <c r="D353">
        <f t="shared" si="21"/>
        <v>1</v>
      </c>
      <c r="E353">
        <f t="shared" si="22"/>
        <v>0.93700000000000006</v>
      </c>
      <c r="F353">
        <f t="shared" si="23"/>
        <v>0.93700000000000006</v>
      </c>
      <c r="H353" s="1"/>
    </row>
    <row r="354" spans="1:8" x14ac:dyDescent="0.35">
      <c r="A354" s="1">
        <v>38956.625</v>
      </c>
      <c r="B354">
        <v>0.97499999999999998</v>
      </c>
      <c r="C354">
        <f t="shared" si="20"/>
        <v>2</v>
      </c>
      <c r="D354">
        <f t="shared" si="21"/>
        <v>2</v>
      </c>
      <c r="E354">
        <f t="shared" si="22"/>
        <v>1.6830000000000001</v>
      </c>
      <c r="F354">
        <f t="shared" si="23"/>
        <v>2.6579999999999999</v>
      </c>
      <c r="H354" s="1"/>
    </row>
    <row r="355" spans="1:8" x14ac:dyDescent="0.35">
      <c r="A355" s="1">
        <v>38956.625</v>
      </c>
      <c r="B355">
        <v>1.6830000000000001</v>
      </c>
      <c r="C355">
        <f t="shared" si="20"/>
        <v>1</v>
      </c>
      <c r="D355">
        <f t="shared" si="21"/>
        <v>0</v>
      </c>
      <c r="E355">
        <f t="shared" si="22"/>
        <v>0</v>
      </c>
      <c r="F355">
        <f t="shared" si="23"/>
        <v>0</v>
      </c>
      <c r="H355" s="1"/>
    </row>
    <row r="356" spans="1:8" x14ac:dyDescent="0.35">
      <c r="A356" s="1">
        <v>38956.75</v>
      </c>
      <c r="B356">
        <v>1.631</v>
      </c>
      <c r="C356">
        <f t="shared" si="20"/>
        <v>1</v>
      </c>
      <c r="D356">
        <f t="shared" si="21"/>
        <v>1</v>
      </c>
      <c r="E356">
        <f t="shared" si="22"/>
        <v>1.631</v>
      </c>
      <c r="F356">
        <f t="shared" si="23"/>
        <v>1.631</v>
      </c>
      <c r="H356" s="1"/>
    </row>
    <row r="357" spans="1:8" x14ac:dyDescent="0.35">
      <c r="A357" s="1">
        <v>38960.736111111109</v>
      </c>
      <c r="B357">
        <v>0.79900000000000004</v>
      </c>
      <c r="C357">
        <f t="shared" si="20"/>
        <v>2</v>
      </c>
      <c r="D357">
        <f t="shared" si="21"/>
        <v>2</v>
      </c>
      <c r="E357">
        <f t="shared" si="22"/>
        <v>0.93700000000000006</v>
      </c>
      <c r="F357">
        <f t="shared" si="23"/>
        <v>1.7360000000000002</v>
      </c>
      <c r="H357" s="1"/>
    </row>
    <row r="358" spans="1:8" x14ac:dyDescent="0.35">
      <c r="A358" s="1">
        <v>38960.736111111109</v>
      </c>
      <c r="B358">
        <v>0.93700000000000006</v>
      </c>
      <c r="C358">
        <f t="shared" si="20"/>
        <v>1</v>
      </c>
      <c r="D358">
        <f t="shared" si="21"/>
        <v>0</v>
      </c>
      <c r="E358">
        <f t="shared" si="22"/>
        <v>0</v>
      </c>
      <c r="F358">
        <f t="shared" si="23"/>
        <v>0</v>
      </c>
      <c r="H358" s="1"/>
    </row>
    <row r="359" spans="1:8" x14ac:dyDescent="0.35">
      <c r="A359" s="1">
        <v>38963.631944444445</v>
      </c>
      <c r="B359">
        <v>1.1000000000000001</v>
      </c>
      <c r="C359">
        <f t="shared" si="20"/>
        <v>1</v>
      </c>
      <c r="D359">
        <f t="shared" si="21"/>
        <v>1</v>
      </c>
      <c r="E359">
        <f t="shared" si="22"/>
        <v>1.1000000000000001</v>
      </c>
      <c r="F359">
        <f t="shared" si="23"/>
        <v>1.1000000000000001</v>
      </c>
      <c r="H359" s="1"/>
    </row>
    <row r="360" spans="1:8" x14ac:dyDescent="0.35">
      <c r="A360" s="1">
        <v>38965.746527777781</v>
      </c>
      <c r="B360">
        <v>1.0660000000000001</v>
      </c>
      <c r="C360">
        <f t="shared" si="20"/>
        <v>1</v>
      </c>
      <c r="D360">
        <f t="shared" si="21"/>
        <v>1</v>
      </c>
      <c r="E360">
        <f t="shared" si="22"/>
        <v>1.0660000000000001</v>
      </c>
      <c r="F360">
        <f t="shared" si="23"/>
        <v>1.0660000000000001</v>
      </c>
      <c r="H360" s="1"/>
    </row>
    <row r="361" spans="1:8" x14ac:dyDescent="0.35">
      <c r="A361" s="1">
        <v>39050.635416666664</v>
      </c>
      <c r="B361">
        <v>0.77600000000000002</v>
      </c>
      <c r="C361">
        <f t="shared" si="20"/>
        <v>2</v>
      </c>
      <c r="D361">
        <f t="shared" si="21"/>
        <v>2</v>
      </c>
      <c r="E361">
        <f t="shared" si="22"/>
        <v>2.5710000000000002</v>
      </c>
      <c r="F361">
        <f t="shared" si="23"/>
        <v>3.3470000000000004</v>
      </c>
      <c r="H361" s="1"/>
    </row>
    <row r="362" spans="1:8" x14ac:dyDescent="0.35">
      <c r="A362" s="1">
        <v>39050.635416666664</v>
      </c>
      <c r="B362">
        <v>2.5710000000000002</v>
      </c>
      <c r="C362">
        <f t="shared" si="20"/>
        <v>1</v>
      </c>
      <c r="D362">
        <f t="shared" si="21"/>
        <v>0</v>
      </c>
      <c r="E362">
        <f t="shared" si="22"/>
        <v>0</v>
      </c>
      <c r="F362">
        <f t="shared" si="23"/>
        <v>0</v>
      </c>
      <c r="H362" s="1"/>
    </row>
    <row r="363" spans="1:8" x14ac:dyDescent="0.35">
      <c r="A363" s="1">
        <v>39050.760416666664</v>
      </c>
      <c r="B363">
        <v>0.74299999999999999</v>
      </c>
      <c r="C363">
        <f t="shared" si="20"/>
        <v>1</v>
      </c>
      <c r="D363">
        <f t="shared" si="21"/>
        <v>1</v>
      </c>
      <c r="E363">
        <f t="shared" si="22"/>
        <v>0.74299999999999999</v>
      </c>
      <c r="F363">
        <f t="shared" si="23"/>
        <v>0.74299999999999999</v>
      </c>
      <c r="H363" s="1"/>
    </row>
    <row r="364" spans="1:8" x14ac:dyDescent="0.35">
      <c r="A364" s="1">
        <v>39087.649305555555</v>
      </c>
      <c r="B364">
        <v>0.94599999999999995</v>
      </c>
      <c r="C364">
        <f t="shared" si="20"/>
        <v>2</v>
      </c>
      <c r="D364">
        <f t="shared" si="21"/>
        <v>2</v>
      </c>
      <c r="E364">
        <f t="shared" si="22"/>
        <v>0.94599999999999995</v>
      </c>
      <c r="F364">
        <f t="shared" si="23"/>
        <v>1.653</v>
      </c>
      <c r="H364" s="1"/>
    </row>
    <row r="365" spans="1:8" x14ac:dyDescent="0.35">
      <c r="A365" s="1">
        <v>39087.649305555555</v>
      </c>
      <c r="B365">
        <v>0.70699999999999996</v>
      </c>
      <c r="C365">
        <f t="shared" si="20"/>
        <v>1</v>
      </c>
      <c r="D365">
        <f t="shared" si="21"/>
        <v>0</v>
      </c>
      <c r="E365">
        <f t="shared" si="22"/>
        <v>0</v>
      </c>
      <c r="F365">
        <f t="shared" si="23"/>
        <v>0</v>
      </c>
      <c r="H365" s="1"/>
    </row>
    <row r="366" spans="1:8" x14ac:dyDescent="0.35">
      <c r="A366" s="1">
        <v>40480.736111111109</v>
      </c>
      <c r="B366">
        <v>0.23400000000000001</v>
      </c>
      <c r="C366">
        <f t="shared" si="20"/>
        <v>4</v>
      </c>
      <c r="D366">
        <f t="shared" si="21"/>
        <v>4</v>
      </c>
      <c r="E366">
        <f t="shared" si="22"/>
        <v>0.91300000000000003</v>
      </c>
      <c r="F366">
        <f t="shared" si="23"/>
        <v>1.698</v>
      </c>
      <c r="H366" s="1"/>
    </row>
    <row r="367" spans="1:8" x14ac:dyDescent="0.35">
      <c r="A367" s="1">
        <v>40480.736111111109</v>
      </c>
      <c r="B367">
        <v>0.16800000000000001</v>
      </c>
      <c r="C367">
        <f t="shared" si="20"/>
        <v>3</v>
      </c>
      <c r="D367">
        <f t="shared" si="21"/>
        <v>0</v>
      </c>
      <c r="E367">
        <f t="shared" si="22"/>
        <v>0</v>
      </c>
      <c r="F367">
        <f t="shared" si="23"/>
        <v>0</v>
      </c>
      <c r="H367" s="1"/>
    </row>
    <row r="368" spans="1:8" x14ac:dyDescent="0.35">
      <c r="A368" s="1">
        <v>40480.736111111109</v>
      </c>
      <c r="B368">
        <v>0.91300000000000003</v>
      </c>
      <c r="C368">
        <f t="shared" si="20"/>
        <v>2</v>
      </c>
      <c r="D368">
        <f t="shared" si="21"/>
        <v>0</v>
      </c>
      <c r="E368">
        <f t="shared" si="22"/>
        <v>0</v>
      </c>
      <c r="F368">
        <f t="shared" si="23"/>
        <v>0</v>
      </c>
      <c r="H368" s="1"/>
    </row>
    <row r="369" spans="1:11" x14ac:dyDescent="0.35">
      <c r="A369" s="1">
        <v>40480.736111111109</v>
      </c>
      <c r="B369">
        <v>0.38300000000000001</v>
      </c>
      <c r="C369">
        <f t="shared" si="20"/>
        <v>1</v>
      </c>
      <c r="D369">
        <f t="shared" si="21"/>
        <v>0</v>
      </c>
      <c r="E369">
        <f>IF(D369=1,B369,IF(D369=2,MAX(B369:B370),IF(D369=3,MAX(B369:B371),IF(D369=4,MAX(B369:B372),IF(D369=5,MAX(B369:B373),IF(D369=6,MAX(B369:B374),IF(D369=7,MAX(B369:B375),IF(D369=3,MAX(B369:B376),IF(D369=9,MAX(B369:B377),0)))))))))</f>
        <v>0</v>
      </c>
      <c r="F369">
        <f t="shared" si="23"/>
        <v>0</v>
      </c>
      <c r="H369" s="1"/>
    </row>
    <row r="370" spans="1:11" x14ac:dyDescent="0.35">
      <c r="C370">
        <f t="shared" si="20"/>
        <v>2</v>
      </c>
      <c r="D370">
        <f t="shared" si="21"/>
        <v>2</v>
      </c>
      <c r="E370">
        <f t="shared" ref="E370:E398" si="24">IF(D370=1,B370,IF(D370=2,MAX(B370:B371),IF(D370=3,MAX(B370:B372),IF(D370=4,MAX(B370:B373),IF(D370=5,MAX(B370:B374),IF(D370=6,MAX(B370:B375),IF(D370=7,MAX(B370:B376),IF(D370=3,MAX(B370:B377),IF(D370=9,MAX(B370:B378),0)))))))))</f>
        <v>0</v>
      </c>
      <c r="F370">
        <f t="shared" si="23"/>
        <v>0</v>
      </c>
    </row>
    <row r="371" spans="1:11" x14ac:dyDescent="0.35">
      <c r="C371">
        <f t="shared" si="20"/>
        <v>1</v>
      </c>
      <c r="D371">
        <f t="shared" si="21"/>
        <v>0</v>
      </c>
      <c r="E371">
        <f t="shared" si="24"/>
        <v>0</v>
      </c>
      <c r="F371">
        <f t="shared" si="23"/>
        <v>0</v>
      </c>
    </row>
    <row r="372" spans="1:11" x14ac:dyDescent="0.35">
      <c r="A372" t="s">
        <v>50</v>
      </c>
      <c r="B372" s="8">
        <v>0.81599999999999995</v>
      </c>
      <c r="C372">
        <f t="shared" si="20"/>
        <v>1</v>
      </c>
      <c r="D372">
        <f t="shared" si="21"/>
        <v>1</v>
      </c>
      <c r="E372">
        <f t="shared" si="24"/>
        <v>0.81599999999999995</v>
      </c>
      <c r="F372">
        <f t="shared" si="23"/>
        <v>0.81599999999999995</v>
      </c>
      <c r="H372" t="s">
        <v>50</v>
      </c>
      <c r="I372" s="8">
        <v>1</v>
      </c>
      <c r="J372" s="8">
        <v>0.81599999999999995</v>
      </c>
      <c r="K372" s="8">
        <v>0.81599999999999995</v>
      </c>
    </row>
    <row r="373" spans="1:11" x14ac:dyDescent="0.35">
      <c r="A373" t="s">
        <v>51</v>
      </c>
      <c r="B373" s="8">
        <v>0.89600000000000002</v>
      </c>
      <c r="C373">
        <f t="shared" si="20"/>
        <v>1</v>
      </c>
      <c r="D373">
        <f t="shared" si="21"/>
        <v>1</v>
      </c>
      <c r="E373">
        <f t="shared" si="24"/>
        <v>0.89600000000000002</v>
      </c>
      <c r="F373">
        <f t="shared" si="23"/>
        <v>0.89600000000000002</v>
      </c>
      <c r="H373" t="s">
        <v>51</v>
      </c>
      <c r="I373" s="8">
        <v>1</v>
      </c>
      <c r="J373" s="8">
        <v>0.89600000000000002</v>
      </c>
      <c r="K373" s="8">
        <v>0.89600000000000002</v>
      </c>
    </row>
    <row r="374" spans="1:11" x14ac:dyDescent="0.35">
      <c r="A374" t="s">
        <v>52</v>
      </c>
      <c r="B374" s="8">
        <v>1.0409999999999999</v>
      </c>
      <c r="C374">
        <f t="shared" si="20"/>
        <v>1</v>
      </c>
      <c r="D374">
        <f t="shared" si="21"/>
        <v>1</v>
      </c>
      <c r="E374">
        <f t="shared" si="24"/>
        <v>1.0409999999999999</v>
      </c>
      <c r="F374">
        <f t="shared" si="23"/>
        <v>1.0409999999999999</v>
      </c>
      <c r="H374" t="s">
        <v>52</v>
      </c>
      <c r="I374" s="8">
        <v>1</v>
      </c>
      <c r="J374" s="8">
        <v>1.0409999999999999</v>
      </c>
      <c r="K374" s="8">
        <v>1.0409999999999999</v>
      </c>
    </row>
    <row r="375" spans="1:11" x14ac:dyDescent="0.35">
      <c r="A375" t="s">
        <v>53</v>
      </c>
      <c r="B375" s="8">
        <v>1.57</v>
      </c>
      <c r="C375">
        <f t="shared" si="20"/>
        <v>2</v>
      </c>
      <c r="D375">
        <f t="shared" si="21"/>
        <v>2</v>
      </c>
      <c r="E375">
        <f t="shared" si="24"/>
        <v>1.57</v>
      </c>
      <c r="F375">
        <f t="shared" si="23"/>
        <v>2.4660000000000002</v>
      </c>
      <c r="H375" t="s">
        <v>53</v>
      </c>
      <c r="I375" s="8">
        <v>2</v>
      </c>
      <c r="J375" s="8">
        <v>1.57</v>
      </c>
      <c r="K375" s="8">
        <v>2.4660000000000002</v>
      </c>
    </row>
    <row r="376" spans="1:11" x14ac:dyDescent="0.35">
      <c r="A376" t="s">
        <v>53</v>
      </c>
      <c r="B376" s="8">
        <v>0.89600000000000002</v>
      </c>
      <c r="C376">
        <f t="shared" si="20"/>
        <v>1</v>
      </c>
      <c r="D376">
        <f t="shared" si="21"/>
        <v>0</v>
      </c>
      <c r="E376">
        <f t="shared" si="24"/>
        <v>0</v>
      </c>
      <c r="F376">
        <f t="shared" si="23"/>
        <v>0</v>
      </c>
      <c r="H376" t="s">
        <v>54</v>
      </c>
      <c r="I376" s="8">
        <v>1</v>
      </c>
      <c r="J376" s="8">
        <v>1.5269999999999999</v>
      </c>
      <c r="K376" s="8">
        <v>1.5269999999999999</v>
      </c>
    </row>
    <row r="377" spans="1:11" x14ac:dyDescent="0.35">
      <c r="A377" t="s">
        <v>54</v>
      </c>
      <c r="B377" s="8">
        <v>1.5269999999999999</v>
      </c>
      <c r="C377">
        <f t="shared" si="20"/>
        <v>1</v>
      </c>
      <c r="D377">
        <f t="shared" si="21"/>
        <v>1</v>
      </c>
      <c r="E377">
        <f t="shared" si="24"/>
        <v>1.5269999999999999</v>
      </c>
      <c r="F377">
        <f t="shared" si="23"/>
        <v>1.5269999999999999</v>
      </c>
      <c r="H377" t="s">
        <v>55</v>
      </c>
      <c r="I377" s="8">
        <v>2</v>
      </c>
      <c r="J377" s="8">
        <v>1.976</v>
      </c>
      <c r="K377" s="8">
        <v>3.0760000000000001</v>
      </c>
    </row>
    <row r="378" spans="1:11" x14ac:dyDescent="0.35">
      <c r="A378" t="s">
        <v>55</v>
      </c>
      <c r="B378" s="8">
        <v>1.1000000000000001</v>
      </c>
      <c r="C378">
        <f t="shared" si="20"/>
        <v>2</v>
      </c>
      <c r="D378">
        <f t="shared" si="21"/>
        <v>2</v>
      </c>
      <c r="E378">
        <f t="shared" si="24"/>
        <v>1.976</v>
      </c>
      <c r="F378">
        <f t="shared" si="23"/>
        <v>3.0760000000000001</v>
      </c>
      <c r="H378" t="s">
        <v>56</v>
      </c>
      <c r="I378" s="8">
        <v>1</v>
      </c>
      <c r="J378" s="8">
        <v>0.89600000000000002</v>
      </c>
      <c r="K378" s="8">
        <v>0.89600000000000002</v>
      </c>
    </row>
    <row r="379" spans="1:11" x14ac:dyDescent="0.35">
      <c r="A379" t="s">
        <v>55</v>
      </c>
      <c r="B379" s="8">
        <v>1.976</v>
      </c>
      <c r="C379">
        <f t="shared" si="20"/>
        <v>1</v>
      </c>
      <c r="D379">
        <f t="shared" si="21"/>
        <v>0</v>
      </c>
      <c r="E379">
        <f t="shared" si="24"/>
        <v>0</v>
      </c>
      <c r="F379">
        <f t="shared" si="23"/>
        <v>0</v>
      </c>
      <c r="H379" t="s">
        <v>57</v>
      </c>
      <c r="I379" s="8">
        <v>1</v>
      </c>
      <c r="J379" s="8">
        <v>0.83</v>
      </c>
      <c r="K379" s="8">
        <v>0.83</v>
      </c>
    </row>
    <row r="380" spans="1:11" x14ac:dyDescent="0.35">
      <c r="A380" t="s">
        <v>56</v>
      </c>
      <c r="B380" s="8">
        <v>0.89600000000000002</v>
      </c>
      <c r="C380">
        <f t="shared" si="20"/>
        <v>1</v>
      </c>
      <c r="D380">
        <f t="shared" si="21"/>
        <v>1</v>
      </c>
      <c r="E380">
        <f t="shared" si="24"/>
        <v>0.89600000000000002</v>
      </c>
      <c r="F380">
        <f t="shared" si="23"/>
        <v>0.89600000000000002</v>
      </c>
      <c r="H380" t="s">
        <v>58</v>
      </c>
      <c r="I380" s="8">
        <v>1</v>
      </c>
      <c r="J380" s="8">
        <v>1.1479999999999999</v>
      </c>
      <c r="K380" s="8">
        <v>1.1479999999999999</v>
      </c>
    </row>
    <row r="381" spans="1:11" x14ac:dyDescent="0.35">
      <c r="A381" t="s">
        <v>57</v>
      </c>
      <c r="B381" s="8">
        <v>0.83</v>
      </c>
      <c r="C381">
        <f t="shared" si="20"/>
        <v>1</v>
      </c>
      <c r="D381">
        <f t="shared" si="21"/>
        <v>1</v>
      </c>
      <c r="E381">
        <f t="shared" si="24"/>
        <v>0.83</v>
      </c>
      <c r="F381">
        <f t="shared" si="23"/>
        <v>0.83</v>
      </c>
      <c r="H381" t="s">
        <v>59</v>
      </c>
      <c r="I381" s="8">
        <v>1</v>
      </c>
      <c r="J381" s="8">
        <v>0.99299999999999999</v>
      </c>
      <c r="K381" s="8">
        <v>0.99299999999999999</v>
      </c>
    </row>
    <row r="382" spans="1:11" x14ac:dyDescent="0.35">
      <c r="A382" t="s">
        <v>58</v>
      </c>
      <c r="B382" s="8">
        <v>1.1479999999999999</v>
      </c>
      <c r="C382">
        <f t="shared" si="20"/>
        <v>1</v>
      </c>
      <c r="D382">
        <f t="shared" si="21"/>
        <v>1</v>
      </c>
      <c r="E382">
        <f t="shared" si="24"/>
        <v>1.1479999999999999</v>
      </c>
      <c r="F382">
        <f t="shared" si="23"/>
        <v>1.1479999999999999</v>
      </c>
      <c r="H382" t="s">
        <v>60</v>
      </c>
      <c r="I382" s="8">
        <v>1</v>
      </c>
      <c r="J382" s="8">
        <v>1.0469999999999999</v>
      </c>
      <c r="K382" s="8">
        <v>1.0469999999999999</v>
      </c>
    </row>
    <row r="383" spans="1:11" x14ac:dyDescent="0.35">
      <c r="A383" t="s">
        <v>59</v>
      </c>
      <c r="B383" s="8">
        <v>0.99299999999999999</v>
      </c>
      <c r="C383">
        <f t="shared" si="20"/>
        <v>1</v>
      </c>
      <c r="D383">
        <f t="shared" si="21"/>
        <v>1</v>
      </c>
      <c r="E383">
        <f t="shared" si="24"/>
        <v>0.99299999999999999</v>
      </c>
      <c r="F383">
        <f t="shared" si="23"/>
        <v>0.99299999999999999</v>
      </c>
      <c r="H383" t="s">
        <v>61</v>
      </c>
      <c r="I383" s="8">
        <v>2</v>
      </c>
      <c r="J383" s="8">
        <v>1.198</v>
      </c>
      <c r="K383" s="8">
        <v>2.1320000000000001</v>
      </c>
    </row>
    <row r="384" spans="1:11" x14ac:dyDescent="0.35">
      <c r="A384" t="s">
        <v>60</v>
      </c>
      <c r="B384" s="8">
        <v>1.0469999999999999</v>
      </c>
      <c r="C384">
        <f t="shared" si="20"/>
        <v>1</v>
      </c>
      <c r="D384">
        <f t="shared" si="21"/>
        <v>1</v>
      </c>
      <c r="E384">
        <f t="shared" si="24"/>
        <v>1.0469999999999999</v>
      </c>
      <c r="F384">
        <f t="shared" si="23"/>
        <v>1.0469999999999999</v>
      </c>
      <c r="H384" t="s">
        <v>62</v>
      </c>
      <c r="I384" s="8">
        <v>1</v>
      </c>
      <c r="J384" s="8">
        <v>1.242</v>
      </c>
      <c r="K384" s="8">
        <v>1.242</v>
      </c>
    </row>
    <row r="385" spans="1:11" x14ac:dyDescent="0.35">
      <c r="A385" t="s">
        <v>61</v>
      </c>
      <c r="B385" s="8">
        <v>1.198</v>
      </c>
      <c r="C385">
        <f t="shared" si="20"/>
        <v>2</v>
      </c>
      <c r="D385">
        <f t="shared" si="21"/>
        <v>2</v>
      </c>
      <c r="E385">
        <f t="shared" si="24"/>
        <v>1.198</v>
      </c>
      <c r="F385">
        <f t="shared" si="23"/>
        <v>2.1320000000000001</v>
      </c>
      <c r="H385" t="s">
        <v>63</v>
      </c>
      <c r="I385" s="8">
        <v>1</v>
      </c>
      <c r="J385" s="8">
        <v>0.84399999999999997</v>
      </c>
      <c r="K385" s="8">
        <v>0.84399999999999997</v>
      </c>
    </row>
    <row r="386" spans="1:11" x14ac:dyDescent="0.35">
      <c r="A386" t="s">
        <v>61</v>
      </c>
      <c r="B386" s="8">
        <v>0.93400000000000005</v>
      </c>
      <c r="C386">
        <f t="shared" si="20"/>
        <v>1</v>
      </c>
      <c r="D386">
        <f t="shared" si="21"/>
        <v>0</v>
      </c>
      <c r="E386">
        <f t="shared" si="24"/>
        <v>0</v>
      </c>
      <c r="F386">
        <f t="shared" si="23"/>
        <v>0</v>
      </c>
      <c r="H386" t="s">
        <v>64</v>
      </c>
      <c r="I386" s="8">
        <v>1</v>
      </c>
      <c r="J386" s="8">
        <v>1.724</v>
      </c>
      <c r="K386" s="8">
        <v>1.724</v>
      </c>
    </row>
    <row r="387" spans="1:11" x14ac:dyDescent="0.35">
      <c r="A387" t="s">
        <v>62</v>
      </c>
      <c r="B387" s="8">
        <v>1.242</v>
      </c>
      <c r="C387">
        <f t="shared" ref="C387:C398" si="25">IF(A387=A388,IF(A387=A389,IF(A387=A390,IF(A387=A391,IF(A387=A392,IF(A387=A393,IF(A387=A394,IF(A387=A395,9,8),7),6),5),4),3),2),1)</f>
        <v>1</v>
      </c>
      <c r="D387">
        <f t="shared" ref="D387:D398" si="26">IF(C386&gt;1,0,C387)</f>
        <v>1</v>
      </c>
      <c r="E387">
        <f t="shared" si="24"/>
        <v>1.242</v>
      </c>
      <c r="F387">
        <f t="shared" ref="F387:F398" si="27">IF(D387=1,B387,IF(D387=2,SUM(B387:B388),IF(D387=3,SUM(B387:B389),IF(D387=4,SUM(B387:B390),IF(D387=5,SUM(B387:B391),IF(D387=6,SUM(B387:B392),IF(D387=7,SUM(B387:B393),IF(D387=8,SUM(B387:B394),IF(D387=9,SUM(B387:B395),0)))))))))</f>
        <v>1.242</v>
      </c>
      <c r="H387" t="s">
        <v>65</v>
      </c>
      <c r="I387" s="8">
        <v>1</v>
      </c>
      <c r="J387" s="8">
        <v>0.79200000000000004</v>
      </c>
      <c r="K387" s="8">
        <v>0.79200000000000004</v>
      </c>
    </row>
    <row r="388" spans="1:11" x14ac:dyDescent="0.35">
      <c r="A388" t="s">
        <v>63</v>
      </c>
      <c r="B388" s="8">
        <v>0.84399999999999997</v>
      </c>
      <c r="C388">
        <f t="shared" si="25"/>
        <v>1</v>
      </c>
      <c r="D388">
        <f t="shared" si="26"/>
        <v>1</v>
      </c>
      <c r="E388">
        <f t="shared" si="24"/>
        <v>0.84399999999999997</v>
      </c>
      <c r="F388">
        <f t="shared" si="27"/>
        <v>0.84399999999999997</v>
      </c>
      <c r="H388" t="s">
        <v>66</v>
      </c>
      <c r="I388" s="8">
        <v>2</v>
      </c>
      <c r="J388" s="8">
        <v>1.3560000000000001</v>
      </c>
      <c r="K388" s="8">
        <v>2.359</v>
      </c>
    </row>
    <row r="389" spans="1:11" x14ac:dyDescent="0.35">
      <c r="A389" t="s">
        <v>64</v>
      </c>
      <c r="B389" s="8">
        <v>1.724</v>
      </c>
      <c r="C389">
        <f t="shared" si="25"/>
        <v>1</v>
      </c>
      <c r="D389">
        <f t="shared" si="26"/>
        <v>1</v>
      </c>
      <c r="E389">
        <f t="shared" si="24"/>
        <v>1.724</v>
      </c>
      <c r="F389">
        <f t="shared" si="27"/>
        <v>1.724</v>
      </c>
      <c r="H389" t="s">
        <v>67</v>
      </c>
      <c r="I389" s="8">
        <v>1</v>
      </c>
      <c r="J389" s="8">
        <v>0.747</v>
      </c>
      <c r="K389" s="8">
        <v>0.747</v>
      </c>
    </row>
    <row r="390" spans="1:11" x14ac:dyDescent="0.35">
      <c r="A390" t="s">
        <v>65</v>
      </c>
      <c r="B390" s="8">
        <v>0.79200000000000004</v>
      </c>
      <c r="C390">
        <f t="shared" si="25"/>
        <v>1</v>
      </c>
      <c r="D390">
        <f t="shared" si="26"/>
        <v>1</v>
      </c>
      <c r="E390">
        <f t="shared" si="24"/>
        <v>0.79200000000000004</v>
      </c>
      <c r="F390">
        <f t="shared" si="27"/>
        <v>0.79200000000000004</v>
      </c>
      <c r="H390" t="s">
        <v>68</v>
      </c>
      <c r="I390" s="8">
        <v>1</v>
      </c>
      <c r="J390" s="8">
        <v>1.18</v>
      </c>
      <c r="K390" s="8">
        <v>1.18</v>
      </c>
    </row>
    <row r="391" spans="1:11" x14ac:dyDescent="0.35">
      <c r="A391" t="s">
        <v>66</v>
      </c>
      <c r="B391" s="8">
        <v>1.0029999999999999</v>
      </c>
      <c r="C391">
        <f t="shared" si="25"/>
        <v>2</v>
      </c>
      <c r="D391">
        <f t="shared" si="26"/>
        <v>2</v>
      </c>
      <c r="E391">
        <f t="shared" si="24"/>
        <v>1.3560000000000001</v>
      </c>
      <c r="F391">
        <f t="shared" si="27"/>
        <v>2.359</v>
      </c>
      <c r="H391" t="s">
        <v>69</v>
      </c>
      <c r="I391" s="8">
        <v>1</v>
      </c>
      <c r="J391" s="8">
        <v>1.097</v>
      </c>
      <c r="K391" s="8">
        <v>1.097</v>
      </c>
    </row>
    <row r="392" spans="1:11" x14ac:dyDescent="0.35">
      <c r="A392" t="s">
        <v>66</v>
      </c>
      <c r="B392" s="8">
        <v>1.3560000000000001</v>
      </c>
      <c r="C392">
        <f t="shared" si="25"/>
        <v>1</v>
      </c>
      <c r="D392">
        <f t="shared" si="26"/>
        <v>0</v>
      </c>
      <c r="E392">
        <f t="shared" si="24"/>
        <v>0</v>
      </c>
      <c r="F392">
        <f t="shared" si="27"/>
        <v>0</v>
      </c>
      <c r="H392" t="s">
        <v>70</v>
      </c>
      <c r="I392" s="8">
        <v>1</v>
      </c>
      <c r="J392" s="8">
        <v>1.746</v>
      </c>
      <c r="K392" s="8">
        <v>1.746</v>
      </c>
    </row>
    <row r="393" spans="1:11" x14ac:dyDescent="0.35">
      <c r="A393" t="s">
        <v>67</v>
      </c>
      <c r="B393" s="8">
        <v>0.747</v>
      </c>
      <c r="C393">
        <f t="shared" si="25"/>
        <v>1</v>
      </c>
      <c r="D393">
        <f t="shared" si="26"/>
        <v>1</v>
      </c>
      <c r="E393">
        <f t="shared" si="24"/>
        <v>0.747</v>
      </c>
      <c r="F393">
        <f t="shared" si="27"/>
        <v>0.747</v>
      </c>
      <c r="H393" t="s">
        <v>71</v>
      </c>
      <c r="I393" s="8">
        <v>1</v>
      </c>
      <c r="J393" s="8">
        <v>1.2929999999999999</v>
      </c>
      <c r="K393" s="8">
        <v>1.2929999999999999</v>
      </c>
    </row>
    <row r="394" spans="1:11" x14ac:dyDescent="0.35">
      <c r="A394" t="s">
        <v>68</v>
      </c>
      <c r="B394" s="8">
        <v>1.18</v>
      </c>
      <c r="C394">
        <f t="shared" si="25"/>
        <v>1</v>
      </c>
      <c r="D394">
        <f t="shared" si="26"/>
        <v>1</v>
      </c>
      <c r="E394">
        <f t="shared" si="24"/>
        <v>1.18</v>
      </c>
      <c r="F394">
        <f t="shared" si="27"/>
        <v>1.18</v>
      </c>
      <c r="H394" t="s">
        <v>72</v>
      </c>
      <c r="I394" s="8">
        <v>1</v>
      </c>
      <c r="J394" s="8">
        <v>1.0189999999999999</v>
      </c>
      <c r="K394" s="8">
        <v>1.0189999999999999</v>
      </c>
    </row>
    <row r="395" spans="1:11" x14ac:dyDescent="0.35">
      <c r="A395" t="s">
        <v>69</v>
      </c>
      <c r="B395" s="8">
        <v>1.097</v>
      </c>
      <c r="C395">
        <f t="shared" si="25"/>
        <v>1</v>
      </c>
      <c r="D395">
        <f t="shared" si="26"/>
        <v>1</v>
      </c>
      <c r="E395">
        <f t="shared" si="24"/>
        <v>1.097</v>
      </c>
      <c r="F395">
        <f t="shared" si="27"/>
        <v>1.097</v>
      </c>
    </row>
    <row r="396" spans="1:11" x14ac:dyDescent="0.35">
      <c r="A396" t="s">
        <v>70</v>
      </c>
      <c r="B396" s="8">
        <v>1.746</v>
      </c>
      <c r="C396">
        <f t="shared" si="25"/>
        <v>1</v>
      </c>
      <c r="D396">
        <f t="shared" si="26"/>
        <v>1</v>
      </c>
      <c r="E396">
        <f t="shared" si="24"/>
        <v>1.746</v>
      </c>
      <c r="F396">
        <f t="shared" si="27"/>
        <v>1.746</v>
      </c>
    </row>
    <row r="397" spans="1:11" x14ac:dyDescent="0.35">
      <c r="A397" t="s">
        <v>71</v>
      </c>
      <c r="B397" s="8">
        <v>1.2929999999999999</v>
      </c>
      <c r="C397">
        <f t="shared" si="25"/>
        <v>1</v>
      </c>
      <c r="D397">
        <f t="shared" si="26"/>
        <v>1</v>
      </c>
      <c r="E397">
        <f t="shared" si="24"/>
        <v>1.2929999999999999</v>
      </c>
      <c r="F397">
        <f t="shared" si="27"/>
        <v>1.2929999999999999</v>
      </c>
    </row>
    <row r="398" spans="1:11" x14ac:dyDescent="0.35">
      <c r="A398" t="s">
        <v>72</v>
      </c>
      <c r="B398" s="8">
        <v>1.0189999999999999</v>
      </c>
      <c r="C398">
        <f t="shared" si="25"/>
        <v>1</v>
      </c>
      <c r="D398">
        <f t="shared" si="26"/>
        <v>1</v>
      </c>
      <c r="E398">
        <f t="shared" si="24"/>
        <v>1.0189999999999999</v>
      </c>
      <c r="F398">
        <f t="shared" si="27"/>
        <v>1.0189999999999999</v>
      </c>
    </row>
  </sheetData>
  <sortState xmlns:xlrd2="http://schemas.microsoft.com/office/spreadsheetml/2017/richdata2" ref="H2:K218">
    <sortCondition ref="H2:H218"/>
  </sortState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D251"/>
  <sheetViews>
    <sheetView tabSelected="1" zoomScale="85" zoomScaleNormal="85" workbookViewId="0"/>
  </sheetViews>
  <sheetFormatPr defaultColWidth="11.453125" defaultRowHeight="14.5" x14ac:dyDescent="0.35"/>
  <cols>
    <col min="1" max="1" width="13.81640625" bestFit="1" customWidth="1"/>
    <col min="13" max="13" width="12.81640625" bestFit="1" customWidth="1"/>
    <col min="16" max="16" width="12.26953125" bestFit="1" customWidth="1"/>
    <col min="18" max="20" width="12.26953125" bestFit="1" customWidth="1"/>
    <col min="22" max="22" width="12.81640625" bestFit="1" customWidth="1"/>
    <col min="27" max="29" width="12.26953125" bestFit="1" customWidth="1"/>
  </cols>
  <sheetData>
    <row r="1" spans="1:29" x14ac:dyDescent="0.35">
      <c r="A1" s="12" t="s">
        <v>24</v>
      </c>
      <c r="B1" s="13" t="s">
        <v>28</v>
      </c>
      <c r="C1" s="13" t="s">
        <v>29</v>
      </c>
      <c r="D1" s="14" t="s">
        <v>30</v>
      </c>
      <c r="E1" s="14" t="s">
        <v>31</v>
      </c>
      <c r="F1" s="14" t="s">
        <v>32</v>
      </c>
      <c r="G1" s="14" t="s">
        <v>33</v>
      </c>
      <c r="H1" s="14" t="s">
        <v>34</v>
      </c>
      <c r="I1" s="14" t="s">
        <v>35</v>
      </c>
      <c r="J1" s="14" t="s">
        <v>36</v>
      </c>
      <c r="K1" s="14" t="s">
        <v>37</v>
      </c>
      <c r="L1" s="14" t="s">
        <v>38</v>
      </c>
      <c r="N1" t="s">
        <v>39</v>
      </c>
      <c r="O1" t="s">
        <v>33</v>
      </c>
      <c r="P1" t="s">
        <v>34</v>
      </c>
      <c r="Q1" t="s">
        <v>35</v>
      </c>
      <c r="R1" t="s">
        <v>36</v>
      </c>
      <c r="S1" t="s">
        <v>37</v>
      </c>
      <c r="T1" t="s">
        <v>38</v>
      </c>
      <c r="V1" s="15"/>
      <c r="W1" s="15" t="s">
        <v>39</v>
      </c>
      <c r="X1" s="15" t="s">
        <v>33</v>
      </c>
      <c r="Y1" s="15" t="s">
        <v>34</v>
      </c>
      <c r="Z1" s="15" t="s">
        <v>35</v>
      </c>
      <c r="AA1" s="15" t="s">
        <v>36</v>
      </c>
      <c r="AB1" s="15" t="s">
        <v>37</v>
      </c>
      <c r="AC1" s="15" t="s">
        <v>38</v>
      </c>
    </row>
    <row r="2" spans="1:29" x14ac:dyDescent="0.35">
      <c r="A2" s="1">
        <v>36911.65625</v>
      </c>
      <c r="B2">
        <v>0.60099999999999998</v>
      </c>
      <c r="C2" s="2">
        <f>(0.45*B2)-0.127</f>
        <v>0.14345000000000002</v>
      </c>
      <c r="D2">
        <f>(0.164*B2)-0.045</f>
        <v>5.3564000000000001E-2</v>
      </c>
      <c r="E2">
        <f>C2*2600*(1150*200+350000*0.45)</f>
        <v>144525875.00000003</v>
      </c>
      <c r="F2">
        <f>D2*2600*(1150*350+350000*0.45)</f>
        <v>77989184</v>
      </c>
      <c r="G2">
        <v>0.14345000000000002</v>
      </c>
      <c r="H2">
        <v>5.3564000000000001E-2</v>
      </c>
      <c r="I2">
        <f>(G2+H2)/2</f>
        <v>9.8507000000000011E-2</v>
      </c>
      <c r="J2">
        <v>144525875.00000003</v>
      </c>
      <c r="K2">
        <v>77989184</v>
      </c>
      <c r="L2">
        <f>(J2+K2)/2</f>
        <v>111257529.50000001</v>
      </c>
      <c r="M2" s="1">
        <v>36911.65625</v>
      </c>
      <c r="N2">
        <v>0</v>
      </c>
      <c r="O2">
        <f>N2*C2</f>
        <v>0</v>
      </c>
      <c r="P2">
        <f t="shared" ref="P2" si="0">O2*D2</f>
        <v>0</v>
      </c>
      <c r="Q2">
        <f t="shared" ref="Q2" si="1">P2*E2</f>
        <v>0</v>
      </c>
      <c r="R2">
        <f t="shared" ref="R2" si="2">Q2*F2</f>
        <v>0</v>
      </c>
      <c r="S2">
        <f t="shared" ref="S2" si="3">R2*G2</f>
        <v>0</v>
      </c>
      <c r="T2">
        <f t="shared" ref="T2" si="4">S2*H2</f>
        <v>0</v>
      </c>
      <c r="V2" s="1">
        <v>36911.65625</v>
      </c>
      <c r="W2">
        <v>0</v>
      </c>
      <c r="X2">
        <v>0.14345000000000002</v>
      </c>
      <c r="Y2">
        <v>5.3564000000000001E-2</v>
      </c>
      <c r="Z2">
        <f>(X2+Y2)/2</f>
        <v>9.8507000000000011E-2</v>
      </c>
      <c r="AA2">
        <v>144525875.00000003</v>
      </c>
      <c r="AB2">
        <v>77989184</v>
      </c>
      <c r="AC2">
        <f>(AA2+AB2)/2</f>
        <v>111257529.50000001</v>
      </c>
    </row>
    <row r="3" spans="1:29" x14ac:dyDescent="0.35">
      <c r="A3" s="1">
        <v>36915.638888888891</v>
      </c>
      <c r="B3">
        <v>0.54900000000000004</v>
      </c>
      <c r="C3" s="2">
        <f t="shared" ref="C3" si="5">(0.45*B3)-0.127</f>
        <v>0.12005000000000002</v>
      </c>
      <c r="D3">
        <f t="shared" ref="D3" si="6">(0.164*B3)-0.045</f>
        <v>4.5036000000000007E-2</v>
      </c>
      <c r="E3">
        <f t="shared" ref="E3" si="7">C3*2600*(1150*200+350000*0.45)</f>
        <v>120950375.00000001</v>
      </c>
      <c r="F3">
        <f t="shared" ref="F3" si="8">D3*2600*(1150*350+350000*0.45)</f>
        <v>65572416.000000015</v>
      </c>
      <c r="G3">
        <f>C3+G2</f>
        <v>0.26350000000000007</v>
      </c>
      <c r="H3">
        <f>D3+H2</f>
        <v>9.8600000000000007E-2</v>
      </c>
      <c r="I3">
        <f t="shared" ref="I3" si="9">(G3+H3)/2</f>
        <v>0.18105000000000004</v>
      </c>
      <c r="J3">
        <f>E3+J2</f>
        <v>265476250.00000006</v>
      </c>
      <c r="K3">
        <f>F3+K2</f>
        <v>143561600</v>
      </c>
      <c r="L3">
        <f t="shared" ref="L3" si="10">(J3+K3)/2</f>
        <v>204518925.00000003</v>
      </c>
      <c r="M3" s="1">
        <v>36915.638888888891</v>
      </c>
      <c r="N3">
        <f>(M3-M2)*24*60*60</f>
        <v>344100.0000001397</v>
      </c>
      <c r="O3">
        <f>(N3*C3)+O2</f>
        <v>41309.20500001678</v>
      </c>
      <c r="P3">
        <f>(N3*D3)+P2</f>
        <v>15496.887600006294</v>
      </c>
      <c r="Q3">
        <f>(O3+P3)/2</f>
        <v>28403.046300011538</v>
      </c>
      <c r="R3">
        <f>(N3*F3)+R2</f>
        <v>22563468345609.164</v>
      </c>
      <c r="S3">
        <f>(N3*K3)+S2</f>
        <v>49399546560020.055</v>
      </c>
      <c r="T3">
        <f>(R3+S3)/2</f>
        <v>35981507452814.609</v>
      </c>
      <c r="V3" s="1">
        <v>36915.638888888891</v>
      </c>
      <c r="W3">
        <f>(V3-V2)*24*60*60</f>
        <v>344100.0000001397</v>
      </c>
      <c r="X3">
        <f>(W3*C2)+X2</f>
        <v>49361.288450020053</v>
      </c>
      <c r="Y3">
        <f>(W3*D2)+Y2</f>
        <v>18431.425964007485</v>
      </c>
      <c r="Z3">
        <f>(X3+Y3)/2</f>
        <v>33896.357207013767</v>
      </c>
      <c r="AA3">
        <f>(W3*E2)+AA2</f>
        <v>49731498113395.203</v>
      </c>
      <c r="AB3">
        <f>(W3*F2)+AB2</f>
        <v>26836156203594.895</v>
      </c>
      <c r="AC3">
        <f>(AA3+AB3)/2</f>
        <v>38283827158495.047</v>
      </c>
    </row>
    <row r="4" spans="1:29" x14ac:dyDescent="0.35">
      <c r="A4" s="1">
        <v>36918.659722222219</v>
      </c>
      <c r="B4">
        <v>3.734</v>
      </c>
      <c r="C4" s="2">
        <f t="shared" ref="C4:C67" si="11">(0.45*B4)-0.127</f>
        <v>1.5533000000000001</v>
      </c>
      <c r="D4">
        <f t="shared" ref="D4:D67" si="12">(0.164*B4)-0.045</f>
        <v>0.56737599999999999</v>
      </c>
      <c r="E4">
        <f t="shared" ref="E4:E67" si="13">C4*2600*(1150*200+350000*0.45)</f>
        <v>1564949750.0000002</v>
      </c>
      <c r="F4">
        <f t="shared" ref="F4:F67" si="14">D4*2600*(1150*350+350000*0.45)</f>
        <v>826099456</v>
      </c>
      <c r="G4">
        <f t="shared" ref="G4:G67" si="15">C4+G3</f>
        <v>1.8168000000000002</v>
      </c>
      <c r="H4">
        <f t="shared" ref="H4:H67" si="16">D4+H3</f>
        <v>0.66597600000000001</v>
      </c>
      <c r="I4">
        <f t="shared" ref="I4:I67" si="17">(G4+H4)/2</f>
        <v>1.2413880000000002</v>
      </c>
      <c r="J4">
        <f t="shared" ref="J4:J67" si="18">E4+J3</f>
        <v>1830426000.0000002</v>
      </c>
      <c r="K4">
        <f t="shared" ref="K4:K67" si="19">F4+K3</f>
        <v>969661056</v>
      </c>
      <c r="L4">
        <f t="shared" ref="L4:L67" si="20">(J4+K4)/2</f>
        <v>1400043528</v>
      </c>
      <c r="M4" s="1">
        <v>36918.659722222219</v>
      </c>
      <c r="N4">
        <f t="shared" ref="N4:N39" si="21">(M4-M3)*24*60*60</f>
        <v>260999.9999995809</v>
      </c>
      <c r="O4">
        <f t="shared" ref="O4:O39" si="22">(N4*C4)+O3</f>
        <v>446720.50499936583</v>
      </c>
      <c r="P4">
        <f t="shared" ref="P4:P39" si="23">(N4*D4)+P3</f>
        <v>163582.02359976852</v>
      </c>
      <c r="Q4">
        <f t="shared" ref="Q4:Q39" si="24">(O4+P4)/2</f>
        <v>305151.26429956721</v>
      </c>
      <c r="R4">
        <f t="shared" ref="R4:R39" si="25">(N4*F4)+R3</f>
        <v>238175426361262.94</v>
      </c>
      <c r="S4">
        <f t="shared" ref="S4:S39" si="26">(N4*K4)+S3</f>
        <v>302481082175613.69</v>
      </c>
      <c r="T4">
        <f t="shared" ref="T4:T39" si="27">(R4+S4)/2</f>
        <v>270328254268438.31</v>
      </c>
      <c r="V4" s="1">
        <v>36918.659722222219</v>
      </c>
      <c r="W4">
        <f t="shared" ref="W4:W39" si="28">(V4-V3)*24*60*60</f>
        <v>260999.9999995809</v>
      </c>
      <c r="X4">
        <f t="shared" ref="X4:X39" si="29">(W4*C3)+X3</f>
        <v>80694.338449969742</v>
      </c>
      <c r="Y4">
        <f t="shared" ref="Y4:Y39" si="30">(W4*D3)+Y3</f>
        <v>30185.821963988612</v>
      </c>
      <c r="Z4">
        <f t="shared" ref="Z4:Z39" si="31">(X4+Y4)/2</f>
        <v>55440.080206979175</v>
      </c>
      <c r="AA4">
        <f t="shared" ref="AA4:AA39" si="32">(W4*E3)+AA3</f>
        <v>81299545988344.516</v>
      </c>
      <c r="AB4">
        <f t="shared" ref="AB4:AB39" si="33">(W4*F3)+AB3</f>
        <v>43950556779567.422</v>
      </c>
      <c r="AC4">
        <f t="shared" ref="AC4:AC39" si="34">(AA4+AB4)/2</f>
        <v>62625051383955.969</v>
      </c>
    </row>
    <row r="5" spans="1:29" x14ac:dyDescent="0.35">
      <c r="A5" s="1">
        <v>36938.131944444445</v>
      </c>
      <c r="B5">
        <v>5.6559999999999997</v>
      </c>
      <c r="C5" s="2">
        <f t="shared" si="11"/>
        <v>2.4181999999999997</v>
      </c>
      <c r="D5">
        <f t="shared" si="12"/>
        <v>0.88258399999999992</v>
      </c>
      <c r="E5">
        <f t="shared" si="13"/>
        <v>2436336499.9999995</v>
      </c>
      <c r="F5">
        <f t="shared" si="14"/>
        <v>1285042303.9999998</v>
      </c>
      <c r="G5">
        <f t="shared" si="15"/>
        <v>4.2349999999999994</v>
      </c>
      <c r="H5">
        <f t="shared" si="16"/>
        <v>1.5485599999999999</v>
      </c>
      <c r="I5">
        <f t="shared" si="17"/>
        <v>2.8917799999999998</v>
      </c>
      <c r="J5">
        <f t="shared" si="18"/>
        <v>4266762500</v>
      </c>
      <c r="K5">
        <f t="shared" si="19"/>
        <v>2254703360</v>
      </c>
      <c r="L5">
        <f t="shared" si="20"/>
        <v>3260732930</v>
      </c>
      <c r="M5" s="1">
        <v>36938.131944444445</v>
      </c>
      <c r="N5">
        <f t="shared" si="21"/>
        <v>1682400.0000003492</v>
      </c>
      <c r="O5">
        <f t="shared" si="22"/>
        <v>4515100.1850002101</v>
      </c>
      <c r="P5">
        <f t="shared" si="23"/>
        <v>1648441.3452000767</v>
      </c>
      <c r="Q5">
        <f t="shared" si="24"/>
        <v>3081770.7651001434</v>
      </c>
      <c r="R5">
        <f t="shared" si="25"/>
        <v>2400130598611311.5</v>
      </c>
      <c r="S5">
        <f t="shared" si="26"/>
        <v>4095794015040401</v>
      </c>
      <c r="T5">
        <f t="shared" si="27"/>
        <v>3247962306825856</v>
      </c>
      <c r="V5" s="1">
        <v>36938.131944444445</v>
      </c>
      <c r="W5">
        <f t="shared" si="28"/>
        <v>1682400.0000003492</v>
      </c>
      <c r="X5">
        <f t="shared" si="29"/>
        <v>2693966.2584505128</v>
      </c>
      <c r="Y5">
        <f t="shared" si="30"/>
        <v>984739.20436418673</v>
      </c>
      <c r="Z5">
        <f t="shared" si="31"/>
        <v>1839352.7314073497</v>
      </c>
      <c r="AA5">
        <f t="shared" si="32"/>
        <v>2714171005388891.5</v>
      </c>
      <c r="AB5">
        <f t="shared" si="33"/>
        <v>1433780281554256</v>
      </c>
      <c r="AC5">
        <f t="shared" si="34"/>
        <v>2073975643471573.8</v>
      </c>
    </row>
    <row r="6" spans="1:29" x14ac:dyDescent="0.35">
      <c r="A6" s="1">
        <v>36945.645833333336</v>
      </c>
      <c r="B6">
        <v>7.0689999999999991</v>
      </c>
      <c r="C6" s="2">
        <f t="shared" si="11"/>
        <v>3.0540499999999993</v>
      </c>
      <c r="D6">
        <f t="shared" si="12"/>
        <v>1.1143159999999999</v>
      </c>
      <c r="E6">
        <f t="shared" si="13"/>
        <v>3076955374.999999</v>
      </c>
      <c r="F6">
        <f t="shared" si="14"/>
        <v>1622444096</v>
      </c>
      <c r="G6">
        <f t="shared" si="15"/>
        <v>7.2890499999999987</v>
      </c>
      <c r="H6">
        <f t="shared" si="16"/>
        <v>2.6628759999999998</v>
      </c>
      <c r="I6">
        <f t="shared" si="17"/>
        <v>4.9759629999999992</v>
      </c>
      <c r="J6">
        <f t="shared" si="18"/>
        <v>7343717874.999999</v>
      </c>
      <c r="K6">
        <f t="shared" si="19"/>
        <v>3877147456</v>
      </c>
      <c r="L6">
        <f t="shared" si="20"/>
        <v>5610432665.5</v>
      </c>
      <c r="M6" s="1">
        <v>36945.645833333336</v>
      </c>
      <c r="N6">
        <f t="shared" si="21"/>
        <v>649200.0000001397</v>
      </c>
      <c r="O6">
        <f t="shared" si="22"/>
        <v>6497789.4450006364</v>
      </c>
      <c r="P6">
        <f t="shared" si="23"/>
        <v>2371855.2924002325</v>
      </c>
      <c r="Q6">
        <f t="shared" si="24"/>
        <v>4434822.3687004345</v>
      </c>
      <c r="R6">
        <f t="shared" si="25"/>
        <v>3453421305734738</v>
      </c>
      <c r="S6">
        <f t="shared" si="26"/>
        <v>6612838143476142</v>
      </c>
      <c r="T6">
        <f t="shared" si="27"/>
        <v>5033129724605440</v>
      </c>
      <c r="V6" s="1">
        <v>36945.645833333336</v>
      </c>
      <c r="W6">
        <f t="shared" si="28"/>
        <v>649200.0000001397</v>
      </c>
      <c r="X6">
        <f t="shared" si="29"/>
        <v>4263861.6984508503</v>
      </c>
      <c r="Y6">
        <f t="shared" si="30"/>
        <v>1557712.7371643099</v>
      </c>
      <c r="Z6">
        <f t="shared" si="31"/>
        <v>2910787.2178075803</v>
      </c>
      <c r="AA6">
        <f t="shared" si="32"/>
        <v>4295840661189231.5</v>
      </c>
      <c r="AB6">
        <f t="shared" si="33"/>
        <v>2268029745311235.5</v>
      </c>
      <c r="AC6">
        <f t="shared" si="34"/>
        <v>3281935203250233.5</v>
      </c>
    </row>
    <row r="7" spans="1:29" x14ac:dyDescent="0.35">
      <c r="A7" s="1">
        <v>36947.638888888891</v>
      </c>
      <c r="B7">
        <v>10.516</v>
      </c>
      <c r="C7" s="2">
        <f t="shared" si="11"/>
        <v>4.6052</v>
      </c>
      <c r="D7">
        <f t="shared" si="12"/>
        <v>1.6796240000000002</v>
      </c>
      <c r="E7">
        <f>C7*2600*(1150*200+350000*0.45)</f>
        <v>4639739000</v>
      </c>
      <c r="F7">
        <f t="shared" si="14"/>
        <v>2445532544.0000005</v>
      </c>
      <c r="G7">
        <f t="shared" si="15"/>
        <v>11.89425</v>
      </c>
      <c r="H7">
        <f t="shared" si="16"/>
        <v>4.3425000000000002</v>
      </c>
      <c r="I7">
        <f t="shared" si="17"/>
        <v>8.1183750000000003</v>
      </c>
      <c r="J7">
        <f t="shared" si="18"/>
        <v>11983456875</v>
      </c>
      <c r="K7">
        <f t="shared" si="19"/>
        <v>6322680000</v>
      </c>
      <c r="L7">
        <f t="shared" si="20"/>
        <v>9153068437.5</v>
      </c>
      <c r="M7" s="1">
        <v>36947.638888888891</v>
      </c>
      <c r="N7">
        <f t="shared" si="21"/>
        <v>172199.99999993015</v>
      </c>
      <c r="O7">
        <f t="shared" si="22"/>
        <v>7290804.8850003146</v>
      </c>
      <c r="P7">
        <f t="shared" si="23"/>
        <v>2661086.5452001151</v>
      </c>
      <c r="Q7">
        <f t="shared" si="24"/>
        <v>4975945.7151002148</v>
      </c>
      <c r="R7">
        <f t="shared" si="25"/>
        <v>3874542009811367</v>
      </c>
      <c r="S7">
        <f t="shared" si="26"/>
        <v>7701603639475700</v>
      </c>
      <c r="T7">
        <f t="shared" si="27"/>
        <v>5788072824643534</v>
      </c>
      <c r="V7" s="1">
        <v>36947.638888888891</v>
      </c>
      <c r="W7">
        <f t="shared" si="28"/>
        <v>172199.99999993015</v>
      </c>
      <c r="X7">
        <f t="shared" si="29"/>
        <v>4789769.1084506372</v>
      </c>
      <c r="Y7">
        <f t="shared" si="30"/>
        <v>1749597.9523642322</v>
      </c>
      <c r="Z7">
        <f t="shared" si="31"/>
        <v>3269683.5304074348</v>
      </c>
      <c r="AA7">
        <f t="shared" si="32"/>
        <v>4825692376764016</v>
      </c>
      <c r="AB7">
        <f t="shared" si="33"/>
        <v>2547414618642322</v>
      </c>
      <c r="AC7">
        <f t="shared" si="34"/>
        <v>3686553497703169</v>
      </c>
    </row>
    <row r="8" spans="1:29" x14ac:dyDescent="0.35">
      <c r="A8" s="1">
        <v>36950.149305555555</v>
      </c>
      <c r="B8">
        <v>3.4660000000000002</v>
      </c>
      <c r="C8" s="2">
        <f t="shared" si="11"/>
        <v>1.4327000000000001</v>
      </c>
      <c r="D8">
        <f t="shared" si="12"/>
        <v>0.523424</v>
      </c>
      <c r="E8">
        <f t="shared" si="13"/>
        <v>1443445250.0000002</v>
      </c>
      <c r="F8">
        <f t="shared" si="14"/>
        <v>762105344</v>
      </c>
      <c r="G8">
        <f t="shared" si="15"/>
        <v>13.32695</v>
      </c>
      <c r="H8">
        <f t="shared" si="16"/>
        <v>4.8659240000000006</v>
      </c>
      <c r="I8">
        <f t="shared" si="17"/>
        <v>9.0964369999999999</v>
      </c>
      <c r="J8">
        <f t="shared" si="18"/>
        <v>13426902125</v>
      </c>
      <c r="K8">
        <f t="shared" si="19"/>
        <v>7084785344</v>
      </c>
      <c r="L8">
        <f t="shared" si="20"/>
        <v>10255843734.5</v>
      </c>
      <c r="M8" s="1">
        <v>36950.149305555555</v>
      </c>
      <c r="N8">
        <f t="shared" si="21"/>
        <v>216899.99999979045</v>
      </c>
      <c r="O8">
        <f t="shared" si="22"/>
        <v>7601557.5150000146</v>
      </c>
      <c r="P8">
        <f t="shared" si="23"/>
        <v>2774617.2108000056</v>
      </c>
      <c r="Q8">
        <f t="shared" si="24"/>
        <v>5188087.3629000103</v>
      </c>
      <c r="R8">
        <f t="shared" si="25"/>
        <v>4039842658924807.5</v>
      </c>
      <c r="S8">
        <f t="shared" si="26"/>
        <v>9238293580587816</v>
      </c>
      <c r="T8">
        <f t="shared" si="27"/>
        <v>6639068119756312</v>
      </c>
      <c r="V8" s="1">
        <v>36950.149305555555</v>
      </c>
      <c r="W8">
        <f t="shared" si="28"/>
        <v>216899.99999979045</v>
      </c>
      <c r="X8">
        <f t="shared" si="29"/>
        <v>5788636.9884496722</v>
      </c>
      <c r="Y8">
        <f t="shared" si="30"/>
        <v>2113908.3979638801</v>
      </c>
      <c r="Z8">
        <f t="shared" si="31"/>
        <v>3951272.6932067759</v>
      </c>
      <c r="AA8">
        <f t="shared" si="32"/>
        <v>5832051765863044</v>
      </c>
      <c r="AB8">
        <f t="shared" si="33"/>
        <v>3077850627435409.5</v>
      </c>
      <c r="AC8">
        <f t="shared" si="34"/>
        <v>4454951196649227</v>
      </c>
    </row>
    <row r="9" spans="1:29" x14ac:dyDescent="0.35">
      <c r="A9" s="1">
        <v>36952.138888888891</v>
      </c>
      <c r="B9">
        <v>4.5369999999999999</v>
      </c>
      <c r="C9" s="2">
        <f t="shared" si="11"/>
        <v>1.9146500000000002</v>
      </c>
      <c r="D9">
        <f t="shared" si="12"/>
        <v>0.69906800000000002</v>
      </c>
      <c r="E9">
        <f t="shared" si="13"/>
        <v>1929009875</v>
      </c>
      <c r="F9">
        <f t="shared" si="14"/>
        <v>1017843008</v>
      </c>
      <c r="G9">
        <f t="shared" si="15"/>
        <v>15.2416</v>
      </c>
      <c r="H9">
        <f t="shared" si="16"/>
        <v>5.5649920000000002</v>
      </c>
      <c r="I9">
        <f t="shared" si="17"/>
        <v>10.403296000000001</v>
      </c>
      <c r="J9">
        <f t="shared" si="18"/>
        <v>15355912000</v>
      </c>
      <c r="K9">
        <f t="shared" si="19"/>
        <v>8102628352</v>
      </c>
      <c r="L9">
        <f t="shared" si="20"/>
        <v>11729270176</v>
      </c>
      <c r="M9" s="1">
        <v>36952.138888888891</v>
      </c>
      <c r="N9">
        <f t="shared" si="21"/>
        <v>171900.00000020955</v>
      </c>
      <c r="O9">
        <f t="shared" si="22"/>
        <v>7930685.8500004159</v>
      </c>
      <c r="P9">
        <f t="shared" si="23"/>
        <v>2894787.0000001523</v>
      </c>
      <c r="Q9">
        <f t="shared" si="24"/>
        <v>5412736.4250002839</v>
      </c>
      <c r="R9">
        <f t="shared" si="25"/>
        <v>4214809872000221</v>
      </c>
      <c r="S9">
        <f t="shared" si="26"/>
        <v>1.0631135394298314E+16</v>
      </c>
      <c r="T9">
        <f t="shared" si="27"/>
        <v>7422972633149268</v>
      </c>
      <c r="V9" s="1">
        <v>36952.138888888891</v>
      </c>
      <c r="W9">
        <f t="shared" si="28"/>
        <v>171900.00000020955</v>
      </c>
      <c r="X9">
        <f t="shared" si="29"/>
        <v>6034918.1184499729</v>
      </c>
      <c r="Y9">
        <f t="shared" si="30"/>
        <v>2203884.9835639899</v>
      </c>
      <c r="Z9">
        <f t="shared" si="31"/>
        <v>4119401.5510069812</v>
      </c>
      <c r="AA9">
        <f t="shared" si="32"/>
        <v>6080180004338346</v>
      </c>
      <c r="AB9">
        <f t="shared" si="33"/>
        <v>3208856536069169</v>
      </c>
      <c r="AC9">
        <f t="shared" si="34"/>
        <v>4644518270203758</v>
      </c>
    </row>
    <row r="10" spans="1:29" x14ac:dyDescent="0.35">
      <c r="A10" s="1">
        <v>36959.142361111109</v>
      </c>
      <c r="B10">
        <v>2.7629999999999999</v>
      </c>
      <c r="C10" s="2">
        <f t="shared" si="11"/>
        <v>1.11635</v>
      </c>
      <c r="D10">
        <f t="shared" si="12"/>
        <v>0.40813199999999999</v>
      </c>
      <c r="E10">
        <f t="shared" si="13"/>
        <v>1124722625</v>
      </c>
      <c r="F10">
        <f t="shared" si="14"/>
        <v>594240192</v>
      </c>
      <c r="G10">
        <f t="shared" si="15"/>
        <v>16.357949999999999</v>
      </c>
      <c r="H10">
        <f t="shared" si="16"/>
        <v>5.9731240000000003</v>
      </c>
      <c r="I10">
        <f t="shared" si="17"/>
        <v>11.165537</v>
      </c>
      <c r="J10">
        <f t="shared" si="18"/>
        <v>16480634625</v>
      </c>
      <c r="K10">
        <f t="shared" si="19"/>
        <v>8696868544</v>
      </c>
      <c r="L10">
        <f t="shared" si="20"/>
        <v>12588751584.5</v>
      </c>
      <c r="M10" s="1">
        <v>36959.142361111109</v>
      </c>
      <c r="N10">
        <f t="shared" si="21"/>
        <v>605099.9999997206</v>
      </c>
      <c r="O10">
        <f t="shared" si="22"/>
        <v>8606189.2350001037</v>
      </c>
      <c r="P10">
        <f t="shared" si="23"/>
        <v>3141747.6732000383</v>
      </c>
      <c r="Q10">
        <f t="shared" si="24"/>
        <v>5873968.4541000705</v>
      </c>
      <c r="R10">
        <f t="shared" si="25"/>
        <v>4574384612179255</v>
      </c>
      <c r="S10">
        <f t="shared" si="26"/>
        <v>1.5893610550270284E+16</v>
      </c>
      <c r="T10">
        <f t="shared" si="27"/>
        <v>1.023399758122477E+16</v>
      </c>
      <c r="V10" s="1">
        <v>36959.142361111109</v>
      </c>
      <c r="W10">
        <f t="shared" si="28"/>
        <v>605099.9999997206</v>
      </c>
      <c r="X10">
        <f t="shared" si="29"/>
        <v>7193472.8334494382</v>
      </c>
      <c r="Y10">
        <f t="shared" si="30"/>
        <v>2626891.0303637944</v>
      </c>
      <c r="Z10">
        <f t="shared" si="31"/>
        <v>4910181.9319066163</v>
      </c>
      <c r="AA10">
        <f t="shared" si="32"/>
        <v>7247423879700307</v>
      </c>
      <c r="AB10">
        <f t="shared" si="33"/>
        <v>3824753340209684.5</v>
      </c>
      <c r="AC10">
        <f t="shared" si="34"/>
        <v>5536088609954996</v>
      </c>
    </row>
    <row r="11" spans="1:29" x14ac:dyDescent="0.35">
      <c r="A11" s="1">
        <v>36959.65625</v>
      </c>
      <c r="B11">
        <v>3.4870000000000001</v>
      </c>
      <c r="C11" s="2">
        <f t="shared" si="11"/>
        <v>1.44215</v>
      </c>
      <c r="D11">
        <f t="shared" si="12"/>
        <v>0.526868</v>
      </c>
      <c r="E11">
        <f t="shared" si="13"/>
        <v>1452966125</v>
      </c>
      <c r="F11">
        <f t="shared" si="14"/>
        <v>767119808</v>
      </c>
      <c r="G11">
        <f t="shared" si="15"/>
        <v>17.8001</v>
      </c>
      <c r="H11">
        <f t="shared" si="16"/>
        <v>6.4999920000000007</v>
      </c>
      <c r="I11">
        <f t="shared" si="17"/>
        <v>12.150046</v>
      </c>
      <c r="J11">
        <f t="shared" si="18"/>
        <v>17933600750</v>
      </c>
      <c r="K11">
        <f t="shared" si="19"/>
        <v>9463988352</v>
      </c>
      <c r="L11">
        <f t="shared" si="20"/>
        <v>13698794551</v>
      </c>
      <c r="M11" s="1">
        <v>36959.65625</v>
      </c>
      <c r="N11">
        <f t="shared" si="21"/>
        <v>44400.000000139698</v>
      </c>
      <c r="O11">
        <f t="shared" si="22"/>
        <v>8670220.6950003058</v>
      </c>
      <c r="P11">
        <f t="shared" si="23"/>
        <v>3165140.6124001117</v>
      </c>
      <c r="Q11">
        <f t="shared" si="24"/>
        <v>5917680.6537002083</v>
      </c>
      <c r="R11">
        <f t="shared" si="25"/>
        <v>4608444731654562</v>
      </c>
      <c r="S11">
        <f t="shared" si="26"/>
        <v>1.6313811633100406E+16</v>
      </c>
      <c r="T11">
        <f t="shared" si="27"/>
        <v>1.0461128182377484E+16</v>
      </c>
      <c r="V11" s="1">
        <v>36959.65625</v>
      </c>
      <c r="W11">
        <f t="shared" si="28"/>
        <v>44400.000000139698</v>
      </c>
      <c r="X11">
        <f t="shared" si="29"/>
        <v>7243038.7734495942</v>
      </c>
      <c r="Y11">
        <f t="shared" si="30"/>
        <v>2645012.0911638513</v>
      </c>
      <c r="Z11">
        <f t="shared" si="31"/>
        <v>4944025.4323067227</v>
      </c>
      <c r="AA11">
        <f t="shared" si="32"/>
        <v>7297361564250464</v>
      </c>
      <c r="AB11">
        <f t="shared" si="33"/>
        <v>3851137604734567.5</v>
      </c>
      <c r="AC11">
        <f t="shared" si="34"/>
        <v>5574249584492516</v>
      </c>
    </row>
    <row r="12" spans="1:29" x14ac:dyDescent="0.35">
      <c r="A12" s="1">
        <v>36963.638888888891</v>
      </c>
      <c r="B12">
        <v>1.65</v>
      </c>
      <c r="C12" s="2">
        <f t="shared" si="11"/>
        <v>0.61549999999999994</v>
      </c>
      <c r="D12">
        <f t="shared" si="12"/>
        <v>0.22560000000000002</v>
      </c>
      <c r="E12">
        <f t="shared" si="13"/>
        <v>620116249.99999988</v>
      </c>
      <c r="F12">
        <f t="shared" si="14"/>
        <v>328473600.00000006</v>
      </c>
      <c r="G12">
        <f t="shared" si="15"/>
        <v>18.415600000000001</v>
      </c>
      <c r="H12">
        <f t="shared" si="16"/>
        <v>6.7255920000000007</v>
      </c>
      <c r="I12">
        <f t="shared" si="17"/>
        <v>12.570596000000002</v>
      </c>
      <c r="J12">
        <f t="shared" si="18"/>
        <v>18553717000</v>
      </c>
      <c r="K12">
        <f t="shared" si="19"/>
        <v>9792461952</v>
      </c>
      <c r="L12">
        <f t="shared" si="20"/>
        <v>14173089476</v>
      </c>
      <c r="M12" s="1">
        <v>36963.638888888891</v>
      </c>
      <c r="N12">
        <f t="shared" si="21"/>
        <v>344100.0000001397</v>
      </c>
      <c r="O12">
        <f t="shared" si="22"/>
        <v>8882014.2450003922</v>
      </c>
      <c r="P12">
        <f t="shared" si="23"/>
        <v>3242769.5724001434</v>
      </c>
      <c r="Q12">
        <f t="shared" si="24"/>
        <v>6062391.9087002678</v>
      </c>
      <c r="R12">
        <f t="shared" si="25"/>
        <v>4721472497414608</v>
      </c>
      <c r="S12">
        <f t="shared" si="26"/>
        <v>1.9683397790784976E+16</v>
      </c>
      <c r="T12">
        <f t="shared" si="27"/>
        <v>1.2202435144099792E+16</v>
      </c>
      <c r="V12" s="1">
        <v>36963.638888888891</v>
      </c>
      <c r="W12">
        <f t="shared" si="28"/>
        <v>344100.0000001397</v>
      </c>
      <c r="X12">
        <f t="shared" si="29"/>
        <v>7739282.5884497957</v>
      </c>
      <c r="Y12">
        <f t="shared" si="30"/>
        <v>2826307.3699639249</v>
      </c>
      <c r="Z12">
        <f t="shared" si="31"/>
        <v>5282794.9792068601</v>
      </c>
      <c r="AA12">
        <f t="shared" si="32"/>
        <v>7797327207863167</v>
      </c>
      <c r="AB12">
        <f t="shared" si="33"/>
        <v>4115103530667474.5</v>
      </c>
      <c r="AC12">
        <f t="shared" si="34"/>
        <v>5956215369265321</v>
      </c>
    </row>
    <row r="13" spans="1:29" x14ac:dyDescent="0.35">
      <c r="A13" s="1">
        <v>36968.138888888891</v>
      </c>
      <c r="B13">
        <v>3.2549999999999999</v>
      </c>
      <c r="C13" s="2">
        <f t="shared" si="11"/>
        <v>1.33775</v>
      </c>
      <c r="D13">
        <f t="shared" si="12"/>
        <v>0.48881999999999998</v>
      </c>
      <c r="E13">
        <f t="shared" si="13"/>
        <v>1347783125</v>
      </c>
      <c r="F13">
        <f t="shared" si="14"/>
        <v>711721920</v>
      </c>
      <c r="G13">
        <f t="shared" si="15"/>
        <v>19.753350000000001</v>
      </c>
      <c r="H13">
        <f t="shared" si="16"/>
        <v>7.2144120000000003</v>
      </c>
      <c r="I13">
        <f t="shared" si="17"/>
        <v>13.483881</v>
      </c>
      <c r="J13">
        <f t="shared" si="18"/>
        <v>19901500125</v>
      </c>
      <c r="K13">
        <f t="shared" si="19"/>
        <v>10504183872</v>
      </c>
      <c r="L13">
        <f t="shared" si="20"/>
        <v>15202841998.5</v>
      </c>
      <c r="M13" s="1">
        <v>36968.138888888891</v>
      </c>
      <c r="N13">
        <f t="shared" si="21"/>
        <v>388800</v>
      </c>
      <c r="O13">
        <f t="shared" si="22"/>
        <v>9402131.4450003915</v>
      </c>
      <c r="P13">
        <f t="shared" si="23"/>
        <v>3432822.7884001434</v>
      </c>
      <c r="Q13">
        <f t="shared" si="24"/>
        <v>6417477.1167002674</v>
      </c>
      <c r="R13">
        <f t="shared" si="25"/>
        <v>4998189979910608</v>
      </c>
      <c r="S13">
        <f t="shared" si="26"/>
        <v>2.3767424480218576E+16</v>
      </c>
      <c r="T13">
        <f t="shared" si="27"/>
        <v>1.4382807230064592E+16</v>
      </c>
      <c r="V13" s="1">
        <v>36968.138888888891</v>
      </c>
      <c r="W13">
        <f t="shared" si="28"/>
        <v>388800</v>
      </c>
      <c r="X13">
        <f t="shared" si="29"/>
        <v>7978588.9884497961</v>
      </c>
      <c r="Y13">
        <f t="shared" si="30"/>
        <v>2914020.6499639247</v>
      </c>
      <c r="Z13">
        <f t="shared" si="31"/>
        <v>5446304.8192068599</v>
      </c>
      <c r="AA13">
        <f t="shared" si="32"/>
        <v>8038428405863167</v>
      </c>
      <c r="AB13">
        <f t="shared" si="33"/>
        <v>4242814066347474.5</v>
      </c>
      <c r="AC13">
        <f t="shared" si="34"/>
        <v>6140621236105321</v>
      </c>
    </row>
    <row r="14" spans="1:29" x14ac:dyDescent="0.35">
      <c r="A14" s="1">
        <v>36968.649305555555</v>
      </c>
      <c r="B14">
        <v>3.2650000000000001</v>
      </c>
      <c r="C14" s="2">
        <f t="shared" si="11"/>
        <v>1.3422500000000002</v>
      </c>
      <c r="D14">
        <f t="shared" si="12"/>
        <v>0.49046000000000006</v>
      </c>
      <c r="E14">
        <f t="shared" si="13"/>
        <v>1352316875.0000002</v>
      </c>
      <c r="F14">
        <f t="shared" si="14"/>
        <v>714109760.00000012</v>
      </c>
      <c r="G14">
        <f t="shared" si="15"/>
        <v>21.095600000000001</v>
      </c>
      <c r="H14">
        <f t="shared" si="16"/>
        <v>7.7048719999999999</v>
      </c>
      <c r="I14">
        <f t="shared" si="17"/>
        <v>14.400236</v>
      </c>
      <c r="J14">
        <f t="shared" si="18"/>
        <v>21253817000</v>
      </c>
      <c r="K14">
        <f t="shared" si="19"/>
        <v>11218293632</v>
      </c>
      <c r="L14">
        <f t="shared" si="20"/>
        <v>16236055316</v>
      </c>
      <c r="M14" s="1">
        <v>36968.649305555555</v>
      </c>
      <c r="N14">
        <f t="shared" si="21"/>
        <v>44099.999999790452</v>
      </c>
      <c r="O14">
        <f t="shared" si="22"/>
        <v>9461324.6700001098</v>
      </c>
      <c r="P14">
        <f t="shared" si="23"/>
        <v>3454452.0744000408</v>
      </c>
      <c r="Q14">
        <f t="shared" si="24"/>
        <v>6457888.3722000755</v>
      </c>
      <c r="R14">
        <f t="shared" si="25"/>
        <v>5029682220326458</v>
      </c>
      <c r="S14">
        <f t="shared" si="26"/>
        <v>2.4262151229387424E+16</v>
      </c>
      <c r="T14">
        <f t="shared" si="27"/>
        <v>1.464591672485694E+16</v>
      </c>
      <c r="V14" s="1">
        <v>36968.649305555555</v>
      </c>
      <c r="W14">
        <f t="shared" si="28"/>
        <v>44099.999999790452</v>
      </c>
      <c r="X14">
        <f t="shared" si="29"/>
        <v>8037583.7634495161</v>
      </c>
      <c r="Y14">
        <f t="shared" si="30"/>
        <v>2935577.611963822</v>
      </c>
      <c r="Z14">
        <f t="shared" si="31"/>
        <v>5486580.6877066689</v>
      </c>
      <c r="AA14">
        <f t="shared" si="32"/>
        <v>8097865641675385</v>
      </c>
      <c r="AB14">
        <f t="shared" si="33"/>
        <v>4274201003019325.5</v>
      </c>
      <c r="AC14">
        <f t="shared" si="34"/>
        <v>6186033322347355</v>
      </c>
    </row>
    <row r="15" spans="1:29" x14ac:dyDescent="0.35">
      <c r="A15" s="1">
        <v>36991.65625</v>
      </c>
      <c r="B15">
        <v>3.0510000000000002</v>
      </c>
      <c r="C15" s="2">
        <f t="shared" si="11"/>
        <v>1.2459500000000001</v>
      </c>
      <c r="D15">
        <f t="shared" si="12"/>
        <v>0.45536400000000005</v>
      </c>
      <c r="E15">
        <f t="shared" si="13"/>
        <v>1255294625</v>
      </c>
      <c r="F15">
        <f t="shared" si="14"/>
        <v>663009984</v>
      </c>
      <c r="G15">
        <f t="shared" si="15"/>
        <v>22.341550000000002</v>
      </c>
      <c r="H15">
        <f t="shared" si="16"/>
        <v>8.1602359999999994</v>
      </c>
      <c r="I15">
        <f t="shared" si="17"/>
        <v>15.250893000000001</v>
      </c>
      <c r="J15">
        <f t="shared" si="18"/>
        <v>22509111625</v>
      </c>
      <c r="K15">
        <f t="shared" si="19"/>
        <v>11881303616</v>
      </c>
      <c r="L15">
        <f t="shared" si="20"/>
        <v>17195207620.5</v>
      </c>
      <c r="M15" s="1">
        <v>36991.65625</v>
      </c>
      <c r="N15">
        <f t="shared" si="21"/>
        <v>1987800.0000000698</v>
      </c>
      <c r="O15">
        <f t="shared" si="22"/>
        <v>11938024.080000198</v>
      </c>
      <c r="P15">
        <f t="shared" si="23"/>
        <v>4359624.6336000729</v>
      </c>
      <c r="Q15">
        <f t="shared" si="24"/>
        <v>8148824.3568001352</v>
      </c>
      <c r="R15">
        <f t="shared" si="25"/>
        <v>6347613466521704</v>
      </c>
      <c r="S15">
        <f t="shared" si="26"/>
        <v>4.7879806557273056E+16</v>
      </c>
      <c r="T15">
        <f t="shared" si="27"/>
        <v>2.711371001189738E+16</v>
      </c>
      <c r="V15" s="1">
        <v>36991.65625</v>
      </c>
      <c r="W15">
        <f t="shared" si="28"/>
        <v>1987800.0000000698</v>
      </c>
      <c r="X15">
        <f t="shared" si="29"/>
        <v>10705708.31344961</v>
      </c>
      <c r="Y15">
        <f t="shared" si="30"/>
        <v>3910513.9999638563</v>
      </c>
      <c r="Z15">
        <f t="shared" si="31"/>
        <v>7308111.1567067336</v>
      </c>
      <c r="AA15">
        <f t="shared" si="32"/>
        <v>1.078600112580048E+16</v>
      </c>
      <c r="AB15">
        <f t="shared" si="33"/>
        <v>5693708383947376</v>
      </c>
      <c r="AC15">
        <f t="shared" si="34"/>
        <v>8239854754873928</v>
      </c>
    </row>
    <row r="16" spans="1:29" x14ac:dyDescent="0.35">
      <c r="A16" s="1">
        <v>36995.638888888891</v>
      </c>
      <c r="B16">
        <v>2.3839999999999999</v>
      </c>
      <c r="C16" s="2">
        <f t="shared" si="11"/>
        <v>0.94579999999999997</v>
      </c>
      <c r="D16">
        <f t="shared" si="12"/>
        <v>0.34597600000000001</v>
      </c>
      <c r="E16">
        <f t="shared" si="13"/>
        <v>952893500</v>
      </c>
      <c r="F16">
        <f t="shared" si="14"/>
        <v>503741056</v>
      </c>
      <c r="G16">
        <f t="shared" si="15"/>
        <v>23.28735</v>
      </c>
      <c r="H16">
        <f t="shared" si="16"/>
        <v>8.5062119999999997</v>
      </c>
      <c r="I16">
        <f t="shared" si="17"/>
        <v>15.896781000000001</v>
      </c>
      <c r="J16">
        <f t="shared" si="18"/>
        <v>23462005125</v>
      </c>
      <c r="K16">
        <f t="shared" si="19"/>
        <v>12385044672</v>
      </c>
      <c r="L16">
        <f t="shared" si="20"/>
        <v>17923524898.5</v>
      </c>
      <c r="M16" s="1">
        <v>36995.638888888891</v>
      </c>
      <c r="N16">
        <f t="shared" si="21"/>
        <v>344100.0000001397</v>
      </c>
      <c r="O16">
        <f t="shared" si="22"/>
        <v>12263473.860000329</v>
      </c>
      <c r="P16">
        <f t="shared" si="23"/>
        <v>4478674.9752001213</v>
      </c>
      <c r="Q16">
        <f t="shared" si="24"/>
        <v>8371074.4176002257</v>
      </c>
      <c r="R16">
        <f t="shared" si="25"/>
        <v>6520950763891374</v>
      </c>
      <c r="S16">
        <f t="shared" si="26"/>
        <v>5.2141500428909984E+16</v>
      </c>
      <c r="T16">
        <f t="shared" si="27"/>
        <v>2.933122559640068E+16</v>
      </c>
      <c r="V16" s="1">
        <v>36995.638888888891</v>
      </c>
      <c r="W16">
        <f t="shared" si="28"/>
        <v>344100.0000001397</v>
      </c>
      <c r="X16">
        <f t="shared" si="29"/>
        <v>11134439.708449785</v>
      </c>
      <c r="Y16">
        <f t="shared" si="30"/>
        <v>4067204.7523639197</v>
      </c>
      <c r="Z16">
        <f t="shared" si="31"/>
        <v>7600822.2304068524</v>
      </c>
      <c r="AA16">
        <f t="shared" si="32"/>
        <v>1.1217948006263156E+16</v>
      </c>
      <c r="AB16">
        <f t="shared" si="33"/>
        <v>5921850119441869</v>
      </c>
      <c r="AC16">
        <f t="shared" si="34"/>
        <v>8569899062852512</v>
      </c>
    </row>
    <row r="17" spans="1:29" x14ac:dyDescent="0.35">
      <c r="A17" s="1">
        <v>37000.649305555555</v>
      </c>
      <c r="B17">
        <v>0.83299999999999996</v>
      </c>
      <c r="C17" s="2">
        <f t="shared" si="11"/>
        <v>0.24785000000000001</v>
      </c>
      <c r="D17">
        <f t="shared" si="12"/>
        <v>9.1612000000000013E-2</v>
      </c>
      <c r="E17">
        <f t="shared" si="13"/>
        <v>249708875.00000003</v>
      </c>
      <c r="F17">
        <f t="shared" si="14"/>
        <v>133387072.00000001</v>
      </c>
      <c r="G17">
        <f t="shared" si="15"/>
        <v>23.5352</v>
      </c>
      <c r="H17">
        <f t="shared" si="16"/>
        <v>8.5978239999999992</v>
      </c>
      <c r="I17">
        <f t="shared" si="17"/>
        <v>16.066511999999999</v>
      </c>
      <c r="J17">
        <f t="shared" si="18"/>
        <v>23711714000</v>
      </c>
      <c r="K17">
        <f t="shared" si="19"/>
        <v>12518431744</v>
      </c>
      <c r="L17">
        <f t="shared" si="20"/>
        <v>18115072872</v>
      </c>
      <c r="M17" s="1">
        <v>37000.649305555555</v>
      </c>
      <c r="N17">
        <f t="shared" si="21"/>
        <v>432899.99999979045</v>
      </c>
      <c r="O17">
        <f t="shared" si="22"/>
        <v>12370768.125000278</v>
      </c>
      <c r="P17">
        <f t="shared" si="23"/>
        <v>4518333.810000102</v>
      </c>
      <c r="Q17">
        <f t="shared" si="24"/>
        <v>8444550.9675001893</v>
      </c>
      <c r="R17">
        <f t="shared" si="25"/>
        <v>6578694027360146</v>
      </c>
      <c r="S17">
        <f t="shared" si="26"/>
        <v>5.756072953088496E+16</v>
      </c>
      <c r="T17">
        <f t="shared" si="27"/>
        <v>3.2069711779122552E+16</v>
      </c>
      <c r="V17" s="1">
        <v>37000.649305555555</v>
      </c>
      <c r="W17">
        <f t="shared" si="28"/>
        <v>432899.99999979045</v>
      </c>
      <c r="X17">
        <f t="shared" si="29"/>
        <v>11543876.528449586</v>
      </c>
      <c r="Y17">
        <f t="shared" si="30"/>
        <v>4216977.7627638476</v>
      </c>
      <c r="Z17">
        <f t="shared" si="31"/>
        <v>7880427.1456067171</v>
      </c>
      <c r="AA17">
        <f t="shared" si="32"/>
        <v>1.1630455602412956E+16</v>
      </c>
      <c r="AB17">
        <f t="shared" si="33"/>
        <v>6139919622584163</v>
      </c>
      <c r="AC17">
        <f t="shared" si="34"/>
        <v>8885187612498560</v>
      </c>
    </row>
    <row r="18" spans="1:29" x14ac:dyDescent="0.35">
      <c r="A18" s="1">
        <v>37002.642361111109</v>
      </c>
      <c r="B18">
        <v>0.98699999999999999</v>
      </c>
      <c r="C18" s="2">
        <f t="shared" si="11"/>
        <v>0.31714999999999999</v>
      </c>
      <c r="D18">
        <f t="shared" si="12"/>
        <v>0.11686800000000001</v>
      </c>
      <c r="E18">
        <f t="shared" si="13"/>
        <v>319528624.99999994</v>
      </c>
      <c r="F18">
        <f t="shared" si="14"/>
        <v>170159808</v>
      </c>
      <c r="G18">
        <f t="shared" si="15"/>
        <v>23.852350000000001</v>
      </c>
      <c r="H18">
        <f t="shared" si="16"/>
        <v>8.7146919999999994</v>
      </c>
      <c r="I18">
        <f t="shared" si="17"/>
        <v>16.283521</v>
      </c>
      <c r="J18">
        <f t="shared" si="18"/>
        <v>24031242625</v>
      </c>
      <c r="K18">
        <f t="shared" si="19"/>
        <v>12688591552</v>
      </c>
      <c r="L18">
        <f t="shared" si="20"/>
        <v>18359917088.5</v>
      </c>
      <c r="M18" s="1">
        <v>37002.642361111109</v>
      </c>
      <c r="N18">
        <f t="shared" si="21"/>
        <v>172199.99999993015</v>
      </c>
      <c r="O18">
        <f t="shared" si="22"/>
        <v>12425381.355000256</v>
      </c>
      <c r="P18">
        <f t="shared" si="23"/>
        <v>4538458.4796000943</v>
      </c>
      <c r="Q18">
        <f t="shared" si="24"/>
        <v>8481919.9173001759</v>
      </c>
      <c r="R18">
        <f t="shared" si="25"/>
        <v>6607995546297734</v>
      </c>
      <c r="S18">
        <f t="shared" si="26"/>
        <v>5.9745704996138472E+16</v>
      </c>
      <c r="T18">
        <f t="shared" si="27"/>
        <v>3.3176850271218104E+16</v>
      </c>
      <c r="V18" s="1">
        <v>37002.642361111109</v>
      </c>
      <c r="W18">
        <f t="shared" si="28"/>
        <v>172199.99999993015</v>
      </c>
      <c r="X18">
        <f t="shared" si="29"/>
        <v>11586556.298449568</v>
      </c>
      <c r="Y18">
        <f t="shared" si="30"/>
        <v>4232753.3491638415</v>
      </c>
      <c r="Z18">
        <f t="shared" si="31"/>
        <v>7909654.823806705</v>
      </c>
      <c r="AA18">
        <f t="shared" si="32"/>
        <v>1.1673455470687938E+16</v>
      </c>
      <c r="AB18">
        <f t="shared" si="33"/>
        <v>6162888876382554</v>
      </c>
      <c r="AC18">
        <f t="shared" si="34"/>
        <v>8918172173535246</v>
      </c>
    </row>
    <row r="19" spans="1:29" x14ac:dyDescent="0.35">
      <c r="A19" s="1">
        <v>37007.65625</v>
      </c>
      <c r="B19">
        <v>1.4</v>
      </c>
      <c r="C19" s="2">
        <f t="shared" si="11"/>
        <v>0.503</v>
      </c>
      <c r="D19">
        <f t="shared" si="12"/>
        <v>0.18459999999999999</v>
      </c>
      <c r="E19">
        <f t="shared" si="13"/>
        <v>506772500</v>
      </c>
      <c r="F19">
        <f t="shared" si="14"/>
        <v>268777600</v>
      </c>
      <c r="G19">
        <f t="shared" si="15"/>
        <v>24.355350000000001</v>
      </c>
      <c r="H19">
        <f t="shared" si="16"/>
        <v>8.8992919999999991</v>
      </c>
      <c r="I19">
        <f t="shared" si="17"/>
        <v>16.627321000000002</v>
      </c>
      <c r="J19">
        <f t="shared" si="18"/>
        <v>24538015125</v>
      </c>
      <c r="K19">
        <f t="shared" si="19"/>
        <v>12957369152</v>
      </c>
      <c r="L19">
        <f t="shared" si="20"/>
        <v>18747692138.5</v>
      </c>
      <c r="M19" s="1">
        <v>37007.65625</v>
      </c>
      <c r="N19">
        <f t="shared" si="21"/>
        <v>433200.0000001397</v>
      </c>
      <c r="O19">
        <f t="shared" si="22"/>
        <v>12643280.955000326</v>
      </c>
      <c r="P19">
        <f t="shared" si="23"/>
        <v>4618427.1996001201</v>
      </c>
      <c r="Q19">
        <f t="shared" si="24"/>
        <v>8630854.0773002226</v>
      </c>
      <c r="R19">
        <f t="shared" si="25"/>
        <v>6724430002617772</v>
      </c>
      <c r="S19">
        <f t="shared" si="26"/>
        <v>6.535883731278668E+16</v>
      </c>
      <c r="T19">
        <f t="shared" si="27"/>
        <v>3.6041633657702224E+16</v>
      </c>
      <c r="V19" s="1">
        <v>37007.65625</v>
      </c>
      <c r="W19">
        <f t="shared" si="28"/>
        <v>433200.0000001397</v>
      </c>
      <c r="X19">
        <f t="shared" si="29"/>
        <v>11723945.678449612</v>
      </c>
      <c r="Y19">
        <f t="shared" si="30"/>
        <v>4283380.5667638574</v>
      </c>
      <c r="Z19">
        <f t="shared" si="31"/>
        <v>8003663.1226067347</v>
      </c>
      <c r="AA19">
        <f t="shared" si="32"/>
        <v>1.1811875271037982E+16</v>
      </c>
      <c r="AB19">
        <f t="shared" si="33"/>
        <v>6236602105208178</v>
      </c>
      <c r="AC19">
        <f t="shared" si="34"/>
        <v>9024238688123080</v>
      </c>
    </row>
    <row r="20" spans="1:29" x14ac:dyDescent="0.35">
      <c r="A20" s="1">
        <v>37009.645833333336</v>
      </c>
      <c r="B20">
        <v>4.63</v>
      </c>
      <c r="C20" s="2">
        <f t="shared" si="11"/>
        <v>1.9564999999999999</v>
      </c>
      <c r="D20">
        <f t="shared" si="12"/>
        <v>0.71431999999999995</v>
      </c>
      <c r="E20">
        <f t="shared" si="13"/>
        <v>1971173749.9999998</v>
      </c>
      <c r="F20">
        <f t="shared" si="14"/>
        <v>1040049920</v>
      </c>
      <c r="G20">
        <f t="shared" si="15"/>
        <v>26.31185</v>
      </c>
      <c r="H20">
        <f t="shared" si="16"/>
        <v>9.6136119999999998</v>
      </c>
      <c r="I20">
        <f t="shared" si="17"/>
        <v>17.962730999999998</v>
      </c>
      <c r="J20">
        <f t="shared" si="18"/>
        <v>26509188875</v>
      </c>
      <c r="K20">
        <f t="shared" si="19"/>
        <v>13997419072</v>
      </c>
      <c r="L20">
        <f t="shared" si="20"/>
        <v>20253303973.5</v>
      </c>
      <c r="M20" s="1">
        <v>37009.645833333336</v>
      </c>
      <c r="N20">
        <f t="shared" si="21"/>
        <v>171900.00000020955</v>
      </c>
      <c r="O20">
        <f t="shared" si="22"/>
        <v>12979603.305000735</v>
      </c>
      <c r="P20">
        <f t="shared" si="23"/>
        <v>4741218.80760027</v>
      </c>
      <c r="Q20">
        <f t="shared" si="24"/>
        <v>8860411.0563005023</v>
      </c>
      <c r="R20">
        <f t="shared" si="25"/>
        <v>6903214583865990</v>
      </c>
      <c r="S20">
        <f t="shared" si="26"/>
        <v>6.7764993651266416E+16</v>
      </c>
      <c r="T20">
        <f t="shared" si="27"/>
        <v>3.73341041175662E+16</v>
      </c>
      <c r="V20" s="1">
        <v>37009.645833333336</v>
      </c>
      <c r="W20">
        <f t="shared" si="28"/>
        <v>171900.00000020955</v>
      </c>
      <c r="X20">
        <f t="shared" si="29"/>
        <v>11810411.378449718</v>
      </c>
      <c r="Y20">
        <f t="shared" si="30"/>
        <v>4315113.3067638958</v>
      </c>
      <c r="Z20">
        <f t="shared" si="31"/>
        <v>8062762.3426068071</v>
      </c>
      <c r="AA20">
        <f t="shared" si="32"/>
        <v>1.1898989463788088E+16</v>
      </c>
      <c r="AB20">
        <f t="shared" si="33"/>
        <v>6282804974648234</v>
      </c>
      <c r="AC20">
        <f t="shared" si="34"/>
        <v>9090897219218160</v>
      </c>
    </row>
    <row r="21" spans="1:29" x14ac:dyDescent="0.35">
      <c r="A21" s="1">
        <v>37011.638888888891</v>
      </c>
      <c r="B21">
        <v>1.8639999999999999</v>
      </c>
      <c r="C21" s="2">
        <f t="shared" si="11"/>
        <v>0.71179999999999999</v>
      </c>
      <c r="D21">
        <f t="shared" si="12"/>
        <v>0.26069599999999998</v>
      </c>
      <c r="E21">
        <f t="shared" si="13"/>
        <v>717138500</v>
      </c>
      <c r="F21">
        <f t="shared" si="14"/>
        <v>379573375.99999994</v>
      </c>
      <c r="G21">
        <f t="shared" si="15"/>
        <v>27.02365</v>
      </c>
      <c r="H21">
        <f t="shared" si="16"/>
        <v>9.8743079999999992</v>
      </c>
      <c r="I21">
        <f t="shared" si="17"/>
        <v>18.448979000000001</v>
      </c>
      <c r="J21">
        <f t="shared" si="18"/>
        <v>27226327375</v>
      </c>
      <c r="K21">
        <f t="shared" si="19"/>
        <v>14376992448</v>
      </c>
      <c r="L21">
        <f t="shared" si="20"/>
        <v>20801659911.5</v>
      </c>
      <c r="M21" s="1">
        <v>37011.638888888891</v>
      </c>
      <c r="N21">
        <f t="shared" si="21"/>
        <v>172199.99999993015</v>
      </c>
      <c r="O21">
        <f t="shared" si="22"/>
        <v>13102175.265000686</v>
      </c>
      <c r="P21">
        <f t="shared" si="23"/>
        <v>4786110.6588002518</v>
      </c>
      <c r="Q21">
        <f t="shared" si="24"/>
        <v>8944142.9619004689</v>
      </c>
      <c r="R21">
        <f t="shared" si="25"/>
        <v>6968577119213163</v>
      </c>
      <c r="S21">
        <f t="shared" si="26"/>
        <v>7.0240711750811008E+16</v>
      </c>
      <c r="T21">
        <f t="shared" si="27"/>
        <v>3.8604644435012088E+16</v>
      </c>
      <c r="V21" s="1">
        <v>37011.638888888891</v>
      </c>
      <c r="W21">
        <f t="shared" si="28"/>
        <v>172199.99999993015</v>
      </c>
      <c r="X21">
        <f t="shared" si="29"/>
        <v>12147320.67844958</v>
      </c>
      <c r="Y21">
        <f t="shared" si="30"/>
        <v>4438119.2107638456</v>
      </c>
      <c r="Z21">
        <f t="shared" si="31"/>
        <v>8292719.944606713</v>
      </c>
      <c r="AA21">
        <f t="shared" si="32"/>
        <v>1.223842558353795E+16</v>
      </c>
      <c r="AB21">
        <f t="shared" si="33"/>
        <v>6461901570872161</v>
      </c>
      <c r="AC21">
        <f t="shared" si="34"/>
        <v>9350163577205056</v>
      </c>
    </row>
    <row r="22" spans="1:29" x14ac:dyDescent="0.35">
      <c r="A22" s="1">
        <v>37016.649305555555</v>
      </c>
      <c r="B22">
        <v>1.4169999999999998</v>
      </c>
      <c r="C22" s="2">
        <f t="shared" si="11"/>
        <v>0.51064999999999994</v>
      </c>
      <c r="D22">
        <f t="shared" si="12"/>
        <v>0.187388</v>
      </c>
      <c r="E22">
        <f t="shared" si="13"/>
        <v>514479874.99999994</v>
      </c>
      <c r="F22">
        <f t="shared" si="14"/>
        <v>272836928</v>
      </c>
      <c r="G22">
        <f t="shared" si="15"/>
        <v>27.534299999999998</v>
      </c>
      <c r="H22">
        <f t="shared" si="16"/>
        <v>10.061696</v>
      </c>
      <c r="I22">
        <f t="shared" si="17"/>
        <v>18.797998</v>
      </c>
      <c r="J22">
        <f t="shared" si="18"/>
        <v>27740807250</v>
      </c>
      <c r="K22">
        <f t="shared" si="19"/>
        <v>14649829376</v>
      </c>
      <c r="L22">
        <f t="shared" si="20"/>
        <v>21195318313</v>
      </c>
      <c r="M22" s="1">
        <v>37016.649305555555</v>
      </c>
      <c r="N22">
        <f t="shared" si="21"/>
        <v>432899.99999979045</v>
      </c>
      <c r="O22">
        <f t="shared" si="22"/>
        <v>13323235.65000058</v>
      </c>
      <c r="P22">
        <f t="shared" si="23"/>
        <v>4867230.9240002129</v>
      </c>
      <c r="Q22">
        <f t="shared" si="24"/>
        <v>9095233.2870003954</v>
      </c>
      <c r="R22">
        <f t="shared" si="25"/>
        <v>7086688225344306</v>
      </c>
      <c r="S22">
        <f t="shared" si="26"/>
        <v>7.6582622887678336E+16</v>
      </c>
      <c r="T22">
        <f t="shared" si="27"/>
        <v>4.183465555651132E+16</v>
      </c>
      <c r="V22" s="1">
        <v>37016.649305555555</v>
      </c>
      <c r="W22">
        <f t="shared" si="28"/>
        <v>432899.99999979045</v>
      </c>
      <c r="X22">
        <f t="shared" si="29"/>
        <v>12455458.898449432</v>
      </c>
      <c r="Y22">
        <f t="shared" si="30"/>
        <v>4550974.5091637913</v>
      </c>
      <c r="Z22">
        <f t="shared" si="31"/>
        <v>8503216.7038066126</v>
      </c>
      <c r="AA22">
        <f t="shared" si="32"/>
        <v>1.25488748401878E+16</v>
      </c>
      <c r="AB22">
        <f t="shared" si="33"/>
        <v>6626218885342481</v>
      </c>
      <c r="AC22">
        <f t="shared" si="34"/>
        <v>9587546862765140</v>
      </c>
    </row>
    <row r="23" spans="1:29" x14ac:dyDescent="0.35">
      <c r="A23" s="1">
        <v>37018.642361111109</v>
      </c>
      <c r="B23">
        <v>3.262</v>
      </c>
      <c r="C23" s="2">
        <f t="shared" si="11"/>
        <v>1.3409</v>
      </c>
      <c r="D23">
        <f t="shared" si="12"/>
        <v>0.48996800000000001</v>
      </c>
      <c r="E23">
        <f t="shared" si="13"/>
        <v>1350956750</v>
      </c>
      <c r="F23">
        <f t="shared" si="14"/>
        <v>713393408</v>
      </c>
      <c r="G23">
        <f t="shared" si="15"/>
        <v>28.8752</v>
      </c>
      <c r="H23">
        <f t="shared" si="16"/>
        <v>10.551663999999999</v>
      </c>
      <c r="I23">
        <f t="shared" si="17"/>
        <v>19.713431999999997</v>
      </c>
      <c r="J23">
        <f t="shared" si="18"/>
        <v>29091764000</v>
      </c>
      <c r="K23">
        <f t="shared" si="19"/>
        <v>15363222784</v>
      </c>
      <c r="L23">
        <f t="shared" si="20"/>
        <v>22227493392</v>
      </c>
      <c r="M23" s="1">
        <v>37018.642361111109</v>
      </c>
      <c r="N23">
        <f t="shared" si="21"/>
        <v>172199.99999993015</v>
      </c>
      <c r="O23">
        <f t="shared" si="22"/>
        <v>13554138.630000485</v>
      </c>
      <c r="P23">
        <f t="shared" si="23"/>
        <v>4951603.4136001784</v>
      </c>
      <c r="Q23">
        <f t="shared" si="24"/>
        <v>9252871.0218003318</v>
      </c>
      <c r="R23">
        <f t="shared" si="25"/>
        <v>7209534570201856</v>
      </c>
      <c r="S23">
        <f t="shared" si="26"/>
        <v>7.9228169851082064E+16</v>
      </c>
      <c r="T23">
        <f t="shared" si="27"/>
        <v>4.321885221064196E+16</v>
      </c>
      <c r="V23" s="1">
        <v>37018.642361111109</v>
      </c>
      <c r="W23">
        <f t="shared" si="28"/>
        <v>172199.99999993015</v>
      </c>
      <c r="X23">
        <f t="shared" si="29"/>
        <v>12543392.828449396</v>
      </c>
      <c r="Y23">
        <f t="shared" si="30"/>
        <v>4583242.7227637786</v>
      </c>
      <c r="Z23">
        <f t="shared" si="31"/>
        <v>8563317.7756065875</v>
      </c>
      <c r="AA23">
        <f t="shared" si="32"/>
        <v>1.2637468274662764E+16</v>
      </c>
      <c r="AB23">
        <f t="shared" si="33"/>
        <v>6673201404344062</v>
      </c>
      <c r="AC23">
        <f t="shared" si="34"/>
        <v>9655334839503412</v>
      </c>
    </row>
    <row r="24" spans="1:29" x14ac:dyDescent="0.35">
      <c r="A24" s="1">
        <v>37020.631944444445</v>
      </c>
      <c r="B24">
        <v>1.7669999999999999</v>
      </c>
      <c r="C24" s="2">
        <f t="shared" si="11"/>
        <v>0.66815000000000002</v>
      </c>
      <c r="D24">
        <f t="shared" si="12"/>
        <v>0.24478800000000001</v>
      </c>
      <c r="E24">
        <f t="shared" si="13"/>
        <v>673161125</v>
      </c>
      <c r="F24">
        <f t="shared" si="14"/>
        <v>356411328</v>
      </c>
      <c r="G24">
        <f t="shared" si="15"/>
        <v>29.54335</v>
      </c>
      <c r="H24">
        <f t="shared" si="16"/>
        <v>10.796451999999999</v>
      </c>
      <c r="I24">
        <f t="shared" si="17"/>
        <v>20.169900999999999</v>
      </c>
      <c r="J24">
        <f t="shared" si="18"/>
        <v>29764925125</v>
      </c>
      <c r="K24">
        <f t="shared" si="19"/>
        <v>15719634112</v>
      </c>
      <c r="L24">
        <f t="shared" si="20"/>
        <v>22742279618.5</v>
      </c>
      <c r="M24" s="1">
        <v>37020.631944444445</v>
      </c>
      <c r="N24">
        <f t="shared" si="21"/>
        <v>171900.00000020955</v>
      </c>
      <c r="O24">
        <f t="shared" si="22"/>
        <v>13668993.615000624</v>
      </c>
      <c r="P24">
        <f t="shared" si="23"/>
        <v>4993682.4708002293</v>
      </c>
      <c r="Q24">
        <f t="shared" si="24"/>
        <v>9331338.0429004263</v>
      </c>
      <c r="R24">
        <f t="shared" si="25"/>
        <v>7270801677485131</v>
      </c>
      <c r="S24">
        <f t="shared" si="26"/>
        <v>8.193037495493816E+16</v>
      </c>
      <c r="T24">
        <f t="shared" si="27"/>
        <v>4.4600588316211648E+16</v>
      </c>
      <c r="V24" s="1">
        <v>37020.631944444445</v>
      </c>
      <c r="W24">
        <f t="shared" si="28"/>
        <v>171900.00000020955</v>
      </c>
      <c r="X24">
        <f t="shared" si="29"/>
        <v>12773893.538449677</v>
      </c>
      <c r="Y24">
        <f t="shared" si="30"/>
        <v>4667468.2219638815</v>
      </c>
      <c r="Z24">
        <f t="shared" si="31"/>
        <v>8720680.8802067786</v>
      </c>
      <c r="AA24">
        <f t="shared" si="32"/>
        <v>1.2869697739988048E+16</v>
      </c>
      <c r="AB24">
        <f t="shared" si="33"/>
        <v>6795833731179411</v>
      </c>
      <c r="AC24">
        <f t="shared" si="34"/>
        <v>9832765735583730</v>
      </c>
    </row>
    <row r="25" spans="1:29" x14ac:dyDescent="0.35">
      <c r="A25" s="1">
        <v>37021.663194444445</v>
      </c>
      <c r="B25">
        <v>0.97099999999999997</v>
      </c>
      <c r="C25" s="2">
        <f t="shared" si="11"/>
        <v>0.30995</v>
      </c>
      <c r="D25">
        <f t="shared" si="12"/>
        <v>0.114244</v>
      </c>
      <c r="E25">
        <f t="shared" si="13"/>
        <v>312274625</v>
      </c>
      <c r="F25">
        <f t="shared" si="14"/>
        <v>166339264</v>
      </c>
      <c r="G25">
        <f t="shared" si="15"/>
        <v>29.853300000000001</v>
      </c>
      <c r="H25">
        <f t="shared" si="16"/>
        <v>10.910695999999998</v>
      </c>
      <c r="I25">
        <f t="shared" si="17"/>
        <v>20.381997999999999</v>
      </c>
      <c r="J25">
        <f t="shared" si="18"/>
        <v>30077199750</v>
      </c>
      <c r="K25">
        <f t="shared" si="19"/>
        <v>15885973376</v>
      </c>
      <c r="L25">
        <f t="shared" si="20"/>
        <v>22981586563</v>
      </c>
      <c r="M25" s="1">
        <v>37021.663194444445</v>
      </c>
      <c r="N25">
        <f t="shared" si="21"/>
        <v>89100</v>
      </c>
      <c r="O25">
        <f t="shared" si="22"/>
        <v>13696610.160000624</v>
      </c>
      <c r="P25">
        <f t="shared" si="23"/>
        <v>5003861.6112002293</v>
      </c>
      <c r="Q25">
        <f t="shared" si="24"/>
        <v>9350235.8856004272</v>
      </c>
      <c r="R25">
        <f t="shared" si="25"/>
        <v>7285622505907531</v>
      </c>
      <c r="S25">
        <f t="shared" si="26"/>
        <v>8.334581518273976E+16</v>
      </c>
      <c r="T25">
        <f t="shared" si="27"/>
        <v>4.5315718844323648E+16</v>
      </c>
      <c r="V25" s="1">
        <v>37021.663194444445</v>
      </c>
      <c r="W25">
        <f t="shared" si="28"/>
        <v>89100</v>
      </c>
      <c r="X25">
        <f t="shared" si="29"/>
        <v>12833425.703449676</v>
      </c>
      <c r="Y25">
        <f t="shared" si="30"/>
        <v>4689278.8327638814</v>
      </c>
      <c r="Z25">
        <f t="shared" si="31"/>
        <v>8761352.2681067791</v>
      </c>
      <c r="AA25">
        <f t="shared" si="32"/>
        <v>1.2929676396225548E+16</v>
      </c>
      <c r="AB25">
        <f t="shared" si="33"/>
        <v>6827589980504211</v>
      </c>
      <c r="AC25">
        <f t="shared" si="34"/>
        <v>9878633188364880</v>
      </c>
    </row>
    <row r="26" spans="1:29" x14ac:dyDescent="0.35">
      <c r="A26" s="1">
        <v>37023.142361111109</v>
      </c>
      <c r="B26">
        <v>3.63</v>
      </c>
      <c r="C26" s="2">
        <f t="shared" si="11"/>
        <v>1.5065</v>
      </c>
      <c r="D26">
        <f t="shared" si="12"/>
        <v>0.55031999999999992</v>
      </c>
      <c r="E26">
        <f t="shared" si="13"/>
        <v>1517798750</v>
      </c>
      <c r="F26">
        <f t="shared" si="14"/>
        <v>801265919.99999988</v>
      </c>
      <c r="G26">
        <f t="shared" si="15"/>
        <v>31.3598</v>
      </c>
      <c r="H26">
        <f t="shared" si="16"/>
        <v>11.461015999999997</v>
      </c>
      <c r="I26">
        <f t="shared" si="17"/>
        <v>21.410407999999997</v>
      </c>
      <c r="J26">
        <f t="shared" si="18"/>
        <v>31594998500</v>
      </c>
      <c r="K26">
        <f t="shared" si="19"/>
        <v>16687239296</v>
      </c>
      <c r="L26">
        <f t="shared" si="20"/>
        <v>24141118898</v>
      </c>
      <c r="M26" s="1">
        <v>37023.142361111109</v>
      </c>
      <c r="N26">
        <f t="shared" si="21"/>
        <v>127799.99999979045</v>
      </c>
      <c r="O26">
        <f t="shared" si="22"/>
        <v>13889140.860000309</v>
      </c>
      <c r="P26">
        <f t="shared" si="23"/>
        <v>5074192.5072001135</v>
      </c>
      <c r="Q26">
        <f t="shared" si="24"/>
        <v>9481666.6836002115</v>
      </c>
      <c r="R26">
        <f t="shared" si="25"/>
        <v>7388024290483363</v>
      </c>
      <c r="S26">
        <f t="shared" si="26"/>
        <v>8.5478444364765056E+16</v>
      </c>
      <c r="T26">
        <f t="shared" si="27"/>
        <v>4.6433234327624208E+16</v>
      </c>
      <c r="V26" s="1">
        <v>37023.142361111109</v>
      </c>
      <c r="W26">
        <f t="shared" si="28"/>
        <v>127799.99999979045</v>
      </c>
      <c r="X26">
        <f t="shared" si="29"/>
        <v>12873037.31344961</v>
      </c>
      <c r="Y26">
        <f t="shared" si="30"/>
        <v>4703879.2159638572</v>
      </c>
      <c r="Z26">
        <f t="shared" si="31"/>
        <v>8788458.2647067346</v>
      </c>
      <c r="AA26">
        <f t="shared" si="32"/>
        <v>1.2969585093300482E+16</v>
      </c>
      <c r="AB26">
        <f t="shared" si="33"/>
        <v>6848848138443376</v>
      </c>
      <c r="AC26">
        <f t="shared" si="34"/>
        <v>9909216615871928</v>
      </c>
    </row>
    <row r="27" spans="1:29" x14ac:dyDescent="0.35">
      <c r="A27" s="1">
        <v>37023.652777777781</v>
      </c>
      <c r="B27">
        <v>4.0299999999999994</v>
      </c>
      <c r="C27" s="2">
        <f t="shared" si="11"/>
        <v>1.6864999999999997</v>
      </c>
      <c r="D27">
        <f t="shared" si="12"/>
        <v>0.61591999999999991</v>
      </c>
      <c r="E27">
        <f t="shared" si="13"/>
        <v>1699148749.9999995</v>
      </c>
      <c r="F27">
        <f t="shared" si="14"/>
        <v>896779519.99999988</v>
      </c>
      <c r="G27">
        <f t="shared" si="15"/>
        <v>33.046300000000002</v>
      </c>
      <c r="H27">
        <f t="shared" si="16"/>
        <v>12.076935999999996</v>
      </c>
      <c r="I27">
        <f t="shared" si="17"/>
        <v>22.561617999999999</v>
      </c>
      <c r="J27">
        <f t="shared" si="18"/>
        <v>33294147250</v>
      </c>
      <c r="K27">
        <f t="shared" si="19"/>
        <v>17584018816</v>
      </c>
      <c r="L27">
        <f t="shared" si="20"/>
        <v>25439083033</v>
      </c>
      <c r="M27" s="1">
        <v>37023.652777777781</v>
      </c>
      <c r="N27">
        <f t="shared" si="21"/>
        <v>44100.000000419095</v>
      </c>
      <c r="O27">
        <f t="shared" si="22"/>
        <v>13963515.510001015</v>
      </c>
      <c r="P27">
        <f t="shared" si="23"/>
        <v>5101354.5792003712</v>
      </c>
      <c r="Q27">
        <f t="shared" si="24"/>
        <v>9532435.0446006935</v>
      </c>
      <c r="R27">
        <f t="shared" si="25"/>
        <v>7427572267315739</v>
      </c>
      <c r="S27">
        <f t="shared" si="26"/>
        <v>8.6253899594558032E+16</v>
      </c>
      <c r="T27">
        <f t="shared" si="27"/>
        <v>4.6840735930936888E+16</v>
      </c>
      <c r="V27" s="1">
        <v>37023.652777777781</v>
      </c>
      <c r="W27">
        <f t="shared" si="28"/>
        <v>44100.000000419095</v>
      </c>
      <c r="X27">
        <f t="shared" si="29"/>
        <v>12939473.963450242</v>
      </c>
      <c r="Y27">
        <f t="shared" si="30"/>
        <v>4728148.3279640879</v>
      </c>
      <c r="Z27">
        <f t="shared" si="31"/>
        <v>8833811.145707164</v>
      </c>
      <c r="AA27">
        <f t="shared" si="32"/>
        <v>1.3036520018176118E+16</v>
      </c>
      <c r="AB27">
        <f t="shared" si="33"/>
        <v>6884183965515712</v>
      </c>
      <c r="AC27">
        <f t="shared" si="34"/>
        <v>9960351991845916</v>
      </c>
    </row>
    <row r="28" spans="1:29" x14ac:dyDescent="0.35">
      <c r="A28" s="1">
        <v>37025.135416666664</v>
      </c>
      <c r="B28">
        <v>5.6340000000000003</v>
      </c>
      <c r="C28" s="2">
        <f t="shared" si="11"/>
        <v>2.4083000000000006</v>
      </c>
      <c r="D28">
        <f t="shared" si="12"/>
        <v>0.87897600000000009</v>
      </c>
      <c r="E28">
        <f t="shared" si="13"/>
        <v>2426362250.0000005</v>
      </c>
      <c r="F28">
        <f t="shared" si="14"/>
        <v>1279789056.0000002</v>
      </c>
      <c r="G28">
        <f t="shared" si="15"/>
        <v>35.454599999999999</v>
      </c>
      <c r="H28">
        <f t="shared" si="16"/>
        <v>12.955911999999996</v>
      </c>
      <c r="I28">
        <f t="shared" si="17"/>
        <v>24.205255999999999</v>
      </c>
      <c r="J28">
        <f t="shared" si="18"/>
        <v>35720509500</v>
      </c>
      <c r="K28">
        <f t="shared" si="19"/>
        <v>18863807872</v>
      </c>
      <c r="L28">
        <f t="shared" si="20"/>
        <v>27292158686</v>
      </c>
      <c r="M28" s="1">
        <v>37025.135416666664</v>
      </c>
      <c r="N28">
        <f t="shared" si="21"/>
        <v>128099.99999951106</v>
      </c>
      <c r="O28">
        <f t="shared" si="22"/>
        <v>14272018.739999838</v>
      </c>
      <c r="P28">
        <f t="shared" si="23"/>
        <v>5213951.404799941</v>
      </c>
      <c r="Q28">
        <f t="shared" si="24"/>
        <v>9742985.0723998901</v>
      </c>
      <c r="R28">
        <f t="shared" si="25"/>
        <v>7591513245388713</v>
      </c>
      <c r="S28">
        <f t="shared" si="26"/>
        <v>8.8670353382952016E+16</v>
      </c>
      <c r="T28">
        <f t="shared" si="27"/>
        <v>4.8130933314170368E+16</v>
      </c>
      <c r="V28" s="1">
        <v>37025.135416666664</v>
      </c>
      <c r="W28">
        <f t="shared" si="28"/>
        <v>128099.99999951106</v>
      </c>
      <c r="X28">
        <f t="shared" si="29"/>
        <v>13155514.613449417</v>
      </c>
      <c r="Y28">
        <f t="shared" si="30"/>
        <v>4807047.6799637871</v>
      </c>
      <c r="Z28">
        <f t="shared" si="31"/>
        <v>8981281.1467066016</v>
      </c>
      <c r="AA28">
        <f t="shared" si="32"/>
        <v>1.3254180973050288E+16</v>
      </c>
      <c r="AB28">
        <f t="shared" si="33"/>
        <v>6999061422027274</v>
      </c>
      <c r="AC28">
        <f t="shared" si="34"/>
        <v>1.012662119753878E+16</v>
      </c>
    </row>
    <row r="29" spans="1:29" x14ac:dyDescent="0.35">
      <c r="A29" s="1">
        <v>37025.645833333336</v>
      </c>
      <c r="B29">
        <v>3.59</v>
      </c>
      <c r="C29" s="2">
        <f t="shared" si="11"/>
        <v>1.4884999999999999</v>
      </c>
      <c r="D29">
        <f t="shared" si="12"/>
        <v>0.54375999999999991</v>
      </c>
      <c r="E29">
        <f t="shared" si="13"/>
        <v>1499663750</v>
      </c>
      <c r="F29">
        <f t="shared" si="14"/>
        <v>791714559.99999988</v>
      </c>
      <c r="G29">
        <f t="shared" si="15"/>
        <v>36.943100000000001</v>
      </c>
      <c r="H29">
        <f t="shared" si="16"/>
        <v>13.499671999999997</v>
      </c>
      <c r="I29">
        <f t="shared" si="17"/>
        <v>25.221385999999999</v>
      </c>
      <c r="J29">
        <f t="shared" si="18"/>
        <v>37220173250</v>
      </c>
      <c r="K29">
        <f t="shared" si="19"/>
        <v>19655522432</v>
      </c>
      <c r="L29">
        <f t="shared" si="20"/>
        <v>28437847841</v>
      </c>
      <c r="M29" s="1">
        <v>37025.645833333336</v>
      </c>
      <c r="N29">
        <f t="shared" si="21"/>
        <v>44100.000000419095</v>
      </c>
      <c r="O29">
        <f t="shared" si="22"/>
        <v>14337661.590000462</v>
      </c>
      <c r="P29">
        <f t="shared" si="23"/>
        <v>5237931.2208001688</v>
      </c>
      <c r="Q29">
        <f t="shared" si="24"/>
        <v>9787796.4054003153</v>
      </c>
      <c r="R29">
        <f t="shared" si="25"/>
        <v>7626427857485045</v>
      </c>
      <c r="S29">
        <f t="shared" si="26"/>
        <v>8.9537161922211456E+16</v>
      </c>
      <c r="T29">
        <f t="shared" si="27"/>
        <v>4.8581794889848248E+16</v>
      </c>
      <c r="V29" s="1">
        <v>37025.645833333336</v>
      </c>
      <c r="W29">
        <f t="shared" si="28"/>
        <v>44100.000000419095</v>
      </c>
      <c r="X29">
        <f t="shared" si="29"/>
        <v>13261720.643450426</v>
      </c>
      <c r="Y29">
        <f t="shared" si="30"/>
        <v>4845810.5215641558</v>
      </c>
      <c r="Z29">
        <f t="shared" si="31"/>
        <v>9053765.5825072899</v>
      </c>
      <c r="AA29">
        <f t="shared" si="32"/>
        <v>1.3361183548276304E+16</v>
      </c>
      <c r="AB29">
        <f t="shared" si="33"/>
        <v>7055500119397410</v>
      </c>
      <c r="AC29">
        <f t="shared" si="34"/>
        <v>1.0208341833836856E+16</v>
      </c>
    </row>
    <row r="30" spans="1:29" x14ac:dyDescent="0.35">
      <c r="A30" s="1">
        <v>37027.638888888891</v>
      </c>
      <c r="B30">
        <v>1.869</v>
      </c>
      <c r="C30" s="2">
        <f t="shared" si="11"/>
        <v>0.71404999999999996</v>
      </c>
      <c r="D30">
        <f t="shared" si="12"/>
        <v>0.26151600000000003</v>
      </c>
      <c r="E30">
        <f t="shared" si="13"/>
        <v>719405375</v>
      </c>
      <c r="F30">
        <f t="shared" si="14"/>
        <v>380767296.00000006</v>
      </c>
      <c r="G30">
        <f t="shared" si="15"/>
        <v>37.657150000000001</v>
      </c>
      <c r="H30">
        <f t="shared" si="16"/>
        <v>13.761187999999997</v>
      </c>
      <c r="I30">
        <f t="shared" si="17"/>
        <v>25.709168999999999</v>
      </c>
      <c r="J30">
        <f t="shared" si="18"/>
        <v>37939578625</v>
      </c>
      <c r="K30">
        <f t="shared" si="19"/>
        <v>20036289728</v>
      </c>
      <c r="L30">
        <f t="shared" si="20"/>
        <v>28987934176.5</v>
      </c>
      <c r="M30" s="1">
        <v>37027.638888888891</v>
      </c>
      <c r="N30">
        <f t="shared" si="21"/>
        <v>172199.99999993015</v>
      </c>
      <c r="O30">
        <f t="shared" si="22"/>
        <v>14460621.000000412</v>
      </c>
      <c r="P30">
        <f t="shared" si="23"/>
        <v>5282964.2760001505</v>
      </c>
      <c r="Q30">
        <f t="shared" si="24"/>
        <v>9871792.6380002815</v>
      </c>
      <c r="R30">
        <f t="shared" si="25"/>
        <v>7691995985856218</v>
      </c>
      <c r="S30">
        <f t="shared" si="26"/>
        <v>9.2987411013371664E+16</v>
      </c>
      <c r="T30">
        <f t="shared" si="27"/>
        <v>5.0339703499613944E+16</v>
      </c>
      <c r="V30" s="1">
        <v>37027.638888888891</v>
      </c>
      <c r="W30">
        <f t="shared" si="28"/>
        <v>172199.99999993015</v>
      </c>
      <c r="X30">
        <f t="shared" si="29"/>
        <v>13518040.343450323</v>
      </c>
      <c r="Y30">
        <f t="shared" si="30"/>
        <v>4939445.9935641177</v>
      </c>
      <c r="Z30">
        <f t="shared" si="31"/>
        <v>9228743.1685072202</v>
      </c>
      <c r="AA30">
        <f t="shared" si="32"/>
        <v>1.36194256460262E+16</v>
      </c>
      <c r="AB30">
        <f t="shared" si="33"/>
        <v>7191833366629355</v>
      </c>
      <c r="AC30">
        <f t="shared" si="34"/>
        <v>1.0405629506327778E+16</v>
      </c>
    </row>
    <row r="31" spans="1:29" x14ac:dyDescent="0.35">
      <c r="A31" s="1">
        <v>37032.649305555555</v>
      </c>
      <c r="B31">
        <v>4.8330000000000002</v>
      </c>
      <c r="C31" s="2">
        <f t="shared" si="11"/>
        <v>2.0478500000000004</v>
      </c>
      <c r="D31">
        <f t="shared" si="12"/>
        <v>0.74761200000000005</v>
      </c>
      <c r="E31">
        <f t="shared" si="13"/>
        <v>2063208875.0000002</v>
      </c>
      <c r="F31">
        <f t="shared" si="14"/>
        <v>1088523072</v>
      </c>
      <c r="G31">
        <f t="shared" si="15"/>
        <v>39.704999999999998</v>
      </c>
      <c r="H31">
        <f t="shared" si="16"/>
        <v>14.508799999999997</v>
      </c>
      <c r="I31">
        <f t="shared" si="17"/>
        <v>27.106899999999996</v>
      </c>
      <c r="J31">
        <f t="shared" si="18"/>
        <v>40002787500</v>
      </c>
      <c r="K31">
        <f t="shared" si="19"/>
        <v>21124812800</v>
      </c>
      <c r="L31">
        <f t="shared" si="20"/>
        <v>30563800150</v>
      </c>
      <c r="M31" s="1">
        <v>37032.649305555555</v>
      </c>
      <c r="N31">
        <f t="shared" si="21"/>
        <v>432899.99999979045</v>
      </c>
      <c r="O31">
        <f t="shared" si="22"/>
        <v>15347135.264999982</v>
      </c>
      <c r="P31">
        <f t="shared" si="23"/>
        <v>5606605.5107999938</v>
      </c>
      <c r="Q31">
        <f t="shared" si="24"/>
        <v>10476870.387899987</v>
      </c>
      <c r="R31">
        <f t="shared" si="25"/>
        <v>8163217623724790</v>
      </c>
      <c r="S31">
        <f t="shared" si="26"/>
        <v>1.0213234247448723E+17</v>
      </c>
      <c r="T31">
        <f t="shared" si="27"/>
        <v>5.5147780049106008E+16</v>
      </c>
      <c r="V31" s="1">
        <v>37032.649305555555</v>
      </c>
      <c r="W31">
        <f t="shared" si="28"/>
        <v>432899.99999979045</v>
      </c>
      <c r="X31">
        <f t="shared" si="29"/>
        <v>13827152.588450173</v>
      </c>
      <c r="Y31">
        <f t="shared" si="30"/>
        <v>5052656.2699640626</v>
      </c>
      <c r="Z31">
        <f t="shared" si="31"/>
        <v>9439904.4292071182</v>
      </c>
      <c r="AA31">
        <f t="shared" si="32"/>
        <v>1.393085623286355E+16</v>
      </c>
      <c r="AB31">
        <f t="shared" si="33"/>
        <v>7356667529067675</v>
      </c>
      <c r="AC31">
        <f t="shared" si="34"/>
        <v>1.0643761880965612E+16</v>
      </c>
    </row>
    <row r="32" spans="1:29" x14ac:dyDescent="0.35">
      <c r="A32" s="1">
        <v>37034.642361111109</v>
      </c>
      <c r="B32">
        <v>5.3959999999999999</v>
      </c>
      <c r="C32" s="2">
        <f t="shared" si="11"/>
        <v>2.3011999999999997</v>
      </c>
      <c r="D32">
        <f t="shared" si="12"/>
        <v>0.83994400000000002</v>
      </c>
      <c r="E32">
        <f t="shared" si="13"/>
        <v>2318458999.9999995</v>
      </c>
      <c r="F32">
        <f t="shared" si="14"/>
        <v>1222958464</v>
      </c>
      <c r="G32">
        <f t="shared" si="15"/>
        <v>42.0062</v>
      </c>
      <c r="H32">
        <f t="shared" si="16"/>
        <v>15.348743999999996</v>
      </c>
      <c r="I32">
        <f t="shared" si="17"/>
        <v>28.677471999999998</v>
      </c>
      <c r="J32">
        <f t="shared" si="18"/>
        <v>42321246500</v>
      </c>
      <c r="K32">
        <f t="shared" si="19"/>
        <v>22347771264</v>
      </c>
      <c r="L32">
        <f t="shared" si="20"/>
        <v>32334508882</v>
      </c>
      <c r="M32" s="1">
        <v>37034.642361111109</v>
      </c>
      <c r="N32">
        <f t="shared" si="21"/>
        <v>172199.99999993015</v>
      </c>
      <c r="O32">
        <f t="shared" si="22"/>
        <v>15743401.904999821</v>
      </c>
      <c r="P32">
        <f t="shared" si="23"/>
        <v>5751243.8675999353</v>
      </c>
      <c r="Q32">
        <f t="shared" si="24"/>
        <v>10747322.886299878</v>
      </c>
      <c r="R32">
        <f t="shared" si="25"/>
        <v>8373811071225505</v>
      </c>
      <c r="S32">
        <f t="shared" si="26"/>
        <v>1.0598062868614646E+17</v>
      </c>
      <c r="T32">
        <f t="shared" si="27"/>
        <v>5.7177219878685984E+16</v>
      </c>
      <c r="V32" s="1">
        <v>37034.642361111109</v>
      </c>
      <c r="W32">
        <f t="shared" si="28"/>
        <v>172199.99999993015</v>
      </c>
      <c r="X32">
        <f t="shared" si="29"/>
        <v>14179792.358450029</v>
      </c>
      <c r="Y32">
        <f t="shared" si="30"/>
        <v>5181395.0563640101</v>
      </c>
      <c r="Z32">
        <f t="shared" si="31"/>
        <v>9680593.70740702</v>
      </c>
      <c r="AA32">
        <f t="shared" si="32"/>
        <v>1.4286140801138406E+16</v>
      </c>
      <c r="AB32">
        <f t="shared" si="33"/>
        <v>7544111202065999</v>
      </c>
      <c r="AC32">
        <f t="shared" si="34"/>
        <v>1.0915126001602202E+16</v>
      </c>
    </row>
    <row r="33" spans="1:29" x14ac:dyDescent="0.35">
      <c r="A33" s="1">
        <v>37037.663194444445</v>
      </c>
      <c r="B33">
        <v>4.1929999999999996</v>
      </c>
      <c r="C33" s="2">
        <f t="shared" si="11"/>
        <v>1.7598499999999999</v>
      </c>
      <c r="D33">
        <f t="shared" si="12"/>
        <v>0.64265199999999989</v>
      </c>
      <c r="E33">
        <f t="shared" si="13"/>
        <v>1773048874.9999998</v>
      </c>
      <c r="F33">
        <f t="shared" si="14"/>
        <v>935701311.99999988</v>
      </c>
      <c r="G33">
        <f t="shared" si="15"/>
        <v>43.76605</v>
      </c>
      <c r="H33">
        <f t="shared" si="16"/>
        <v>15.991395999999996</v>
      </c>
      <c r="I33">
        <f t="shared" si="17"/>
        <v>29.878722999999997</v>
      </c>
      <c r="J33">
        <f t="shared" si="18"/>
        <v>44094295375</v>
      </c>
      <c r="K33">
        <f t="shared" si="19"/>
        <v>23283472576</v>
      </c>
      <c r="L33">
        <f t="shared" si="20"/>
        <v>33688883975.5</v>
      </c>
      <c r="M33" s="1">
        <v>37037.663194444445</v>
      </c>
      <c r="N33">
        <f t="shared" si="21"/>
        <v>261000.00000020955</v>
      </c>
      <c r="O33">
        <f t="shared" si="22"/>
        <v>16202722.755000189</v>
      </c>
      <c r="P33">
        <f t="shared" si="23"/>
        <v>5918976.0396000696</v>
      </c>
      <c r="Q33">
        <f t="shared" si="24"/>
        <v>11060849.39730013</v>
      </c>
      <c r="R33">
        <f t="shared" si="25"/>
        <v>8618029113657701</v>
      </c>
      <c r="S33">
        <f t="shared" si="26"/>
        <v>1.1205761502848734E+17</v>
      </c>
      <c r="T33">
        <f t="shared" si="27"/>
        <v>6.033782207107252E+16</v>
      </c>
      <c r="V33" s="1">
        <v>37037.663194444445</v>
      </c>
      <c r="W33">
        <f t="shared" si="28"/>
        <v>261000.00000020955</v>
      </c>
      <c r="X33">
        <f t="shared" si="29"/>
        <v>14780405.558450511</v>
      </c>
      <c r="Y33">
        <f t="shared" si="30"/>
        <v>5400620.4403641857</v>
      </c>
      <c r="Z33">
        <f t="shared" si="31"/>
        <v>10090512.999407347</v>
      </c>
      <c r="AA33">
        <f t="shared" si="32"/>
        <v>1.4891258600138892E+16</v>
      </c>
      <c r="AB33">
        <f t="shared" si="33"/>
        <v>7863303361170255</v>
      </c>
      <c r="AC33">
        <f t="shared" si="34"/>
        <v>1.1377280980654574E+16</v>
      </c>
    </row>
    <row r="34" spans="1:29" x14ac:dyDescent="0.35">
      <c r="A34" s="1">
        <v>37039.652777777781</v>
      </c>
      <c r="B34">
        <v>5.5830000000000002</v>
      </c>
      <c r="C34" s="2">
        <f t="shared" si="11"/>
        <v>2.3853499999999999</v>
      </c>
      <c r="D34">
        <f t="shared" si="12"/>
        <v>0.87061200000000005</v>
      </c>
      <c r="E34">
        <f t="shared" si="13"/>
        <v>2403240125</v>
      </c>
      <c r="F34">
        <f t="shared" si="14"/>
        <v>1267611072.0000002</v>
      </c>
      <c r="G34">
        <f t="shared" si="15"/>
        <v>46.151400000000002</v>
      </c>
      <c r="H34">
        <f t="shared" si="16"/>
        <v>16.862007999999996</v>
      </c>
      <c r="I34">
        <f t="shared" si="17"/>
        <v>31.506703999999999</v>
      </c>
      <c r="J34">
        <f t="shared" si="18"/>
        <v>46497535500</v>
      </c>
      <c r="K34">
        <f t="shared" si="19"/>
        <v>24551083648</v>
      </c>
      <c r="L34">
        <f t="shared" si="20"/>
        <v>35524309574</v>
      </c>
      <c r="M34" s="1">
        <v>37039.652777777781</v>
      </c>
      <c r="N34">
        <f t="shared" si="21"/>
        <v>171900.00000020955</v>
      </c>
      <c r="O34">
        <f t="shared" si="22"/>
        <v>16612764.420000689</v>
      </c>
      <c r="P34">
        <f t="shared" si="23"/>
        <v>6068634.2424002523</v>
      </c>
      <c r="Q34">
        <f t="shared" si="24"/>
        <v>11340699.331200471</v>
      </c>
      <c r="R34">
        <f t="shared" si="25"/>
        <v>8835931456934767</v>
      </c>
      <c r="S34">
        <f t="shared" si="26"/>
        <v>1.162779463075837E+17</v>
      </c>
      <c r="T34">
        <f t="shared" si="27"/>
        <v>6.2556938882259232E+16</v>
      </c>
      <c r="V34" s="1">
        <v>37039.652777777781</v>
      </c>
      <c r="W34">
        <f t="shared" si="28"/>
        <v>171900.00000020955</v>
      </c>
      <c r="X34">
        <f t="shared" si="29"/>
        <v>15082923.773450879</v>
      </c>
      <c r="Y34">
        <f t="shared" si="30"/>
        <v>5511092.3191643208</v>
      </c>
      <c r="Z34">
        <f t="shared" si="31"/>
        <v>10297008.046307601</v>
      </c>
      <c r="AA34">
        <f t="shared" si="32"/>
        <v>1.5196045701751764E+16</v>
      </c>
      <c r="AB34">
        <f t="shared" si="33"/>
        <v>8024150416703251</v>
      </c>
      <c r="AC34">
        <f t="shared" si="34"/>
        <v>1.1610098059227508E+16</v>
      </c>
    </row>
    <row r="35" spans="1:29" x14ac:dyDescent="0.35">
      <c r="A35" s="1">
        <v>37041.645833333336</v>
      </c>
      <c r="B35">
        <v>6.7439999999999998</v>
      </c>
      <c r="C35" s="2">
        <f t="shared" si="11"/>
        <v>2.9077999999999999</v>
      </c>
      <c r="D35">
        <f t="shared" si="12"/>
        <v>1.0610160000000002</v>
      </c>
      <c r="E35">
        <f t="shared" si="13"/>
        <v>2929608500</v>
      </c>
      <c r="F35">
        <f t="shared" si="14"/>
        <v>1544839296.0000002</v>
      </c>
      <c r="G35">
        <f t="shared" si="15"/>
        <v>49.059200000000004</v>
      </c>
      <c r="H35">
        <f t="shared" si="16"/>
        <v>17.923023999999995</v>
      </c>
      <c r="I35">
        <f t="shared" si="17"/>
        <v>33.491112000000001</v>
      </c>
      <c r="J35">
        <f t="shared" si="18"/>
        <v>49427144000</v>
      </c>
      <c r="K35">
        <f t="shared" si="19"/>
        <v>26095922944</v>
      </c>
      <c r="L35">
        <f t="shared" si="20"/>
        <v>37761533472</v>
      </c>
      <c r="M35" s="1">
        <v>37041.645833333336</v>
      </c>
      <c r="N35">
        <f t="shared" si="21"/>
        <v>172199.99999993015</v>
      </c>
      <c r="O35">
        <f t="shared" si="22"/>
        <v>17113487.580000486</v>
      </c>
      <c r="P35">
        <f t="shared" si="23"/>
        <v>6251341.1976001784</v>
      </c>
      <c r="Q35">
        <f t="shared" si="24"/>
        <v>11682414.388800332</v>
      </c>
      <c r="R35">
        <f t="shared" si="25"/>
        <v>9101952783705860</v>
      </c>
      <c r="S35">
        <f t="shared" si="26"/>
        <v>1.2077166423853867E+17</v>
      </c>
      <c r="T35">
        <f t="shared" si="27"/>
        <v>6.4936808511122264E+16</v>
      </c>
      <c r="V35" s="1">
        <v>37041.645833333336</v>
      </c>
      <c r="W35">
        <f t="shared" si="28"/>
        <v>172199.99999993015</v>
      </c>
      <c r="X35">
        <f t="shared" si="29"/>
        <v>15493681.043450713</v>
      </c>
      <c r="Y35">
        <f t="shared" si="30"/>
        <v>5661011.7055642605</v>
      </c>
      <c r="Z35">
        <f t="shared" si="31"/>
        <v>10577346.374507487</v>
      </c>
      <c r="AA35">
        <f t="shared" si="32"/>
        <v>1.5609883651276596E+16</v>
      </c>
      <c r="AB35">
        <f t="shared" si="33"/>
        <v>8242433043301562</v>
      </c>
      <c r="AC35">
        <f t="shared" si="34"/>
        <v>1.192615834728908E+16</v>
      </c>
    </row>
    <row r="36" spans="1:29" x14ac:dyDescent="0.35">
      <c r="A36" s="1">
        <v>37048.649305555555</v>
      </c>
      <c r="B36">
        <v>1.387</v>
      </c>
      <c r="C36" s="2">
        <f t="shared" si="11"/>
        <v>0.49714999999999998</v>
      </c>
      <c r="D36">
        <f t="shared" si="12"/>
        <v>0.18246800000000002</v>
      </c>
      <c r="E36">
        <f t="shared" si="13"/>
        <v>500878624.99999994</v>
      </c>
      <c r="F36">
        <f t="shared" si="14"/>
        <v>265673408</v>
      </c>
      <c r="G36">
        <f t="shared" si="15"/>
        <v>49.556350000000002</v>
      </c>
      <c r="H36">
        <f t="shared" si="16"/>
        <v>18.105491999999995</v>
      </c>
      <c r="I36">
        <f t="shared" si="17"/>
        <v>33.830920999999996</v>
      </c>
      <c r="J36">
        <f t="shared" si="18"/>
        <v>49928022625</v>
      </c>
      <c r="K36">
        <f t="shared" si="19"/>
        <v>26361596352</v>
      </c>
      <c r="L36">
        <f t="shared" si="20"/>
        <v>38144809488.5</v>
      </c>
      <c r="M36" s="1">
        <v>37048.649305555555</v>
      </c>
      <c r="N36">
        <f t="shared" si="21"/>
        <v>605099.9999997206</v>
      </c>
      <c r="O36">
        <f t="shared" si="22"/>
        <v>17414313.045000348</v>
      </c>
      <c r="P36">
        <f t="shared" si="23"/>
        <v>6361752.5844001276</v>
      </c>
      <c r="Q36">
        <f t="shared" si="24"/>
        <v>11888032.814700238</v>
      </c>
      <c r="R36">
        <f t="shared" si="25"/>
        <v>9262711762886586</v>
      </c>
      <c r="S36">
        <f t="shared" si="26"/>
        <v>1.3672306619112651E+17</v>
      </c>
      <c r="T36">
        <f t="shared" si="27"/>
        <v>7.2992888977006544E+16</v>
      </c>
      <c r="V36" s="1">
        <v>37048.649305555555</v>
      </c>
      <c r="W36">
        <f t="shared" si="28"/>
        <v>605099.9999997206</v>
      </c>
      <c r="X36">
        <f t="shared" si="29"/>
        <v>17253190.823449902</v>
      </c>
      <c r="Y36">
        <f t="shared" si="30"/>
        <v>6303032.4871639647</v>
      </c>
      <c r="Z36">
        <f t="shared" si="31"/>
        <v>11778111.655306933</v>
      </c>
      <c r="AA36">
        <f t="shared" si="32"/>
        <v>1.7382589754625778E+16</v>
      </c>
      <c r="AB36">
        <f t="shared" si="33"/>
        <v>9177215301310730</v>
      </c>
      <c r="AC36">
        <f t="shared" si="34"/>
        <v>1.3279902527968254E+16</v>
      </c>
    </row>
    <row r="37" spans="1:29" x14ac:dyDescent="0.35">
      <c r="A37" s="1">
        <v>37053.663194444445</v>
      </c>
      <c r="B37">
        <v>1.5229999999999999</v>
      </c>
      <c r="C37" s="2">
        <f t="shared" si="11"/>
        <v>0.55835000000000001</v>
      </c>
      <c r="D37">
        <f t="shared" si="12"/>
        <v>0.20477200000000001</v>
      </c>
      <c r="E37">
        <f t="shared" si="13"/>
        <v>562537625</v>
      </c>
      <c r="F37">
        <f t="shared" si="14"/>
        <v>298148032</v>
      </c>
      <c r="G37">
        <f t="shared" si="15"/>
        <v>50.114699999999999</v>
      </c>
      <c r="H37">
        <f t="shared" si="16"/>
        <v>18.310263999999993</v>
      </c>
      <c r="I37">
        <f t="shared" si="17"/>
        <v>34.212481999999994</v>
      </c>
      <c r="J37">
        <f t="shared" si="18"/>
        <v>50490560250</v>
      </c>
      <c r="K37">
        <f t="shared" si="19"/>
        <v>26659744384</v>
      </c>
      <c r="L37">
        <f t="shared" si="20"/>
        <v>38575152317</v>
      </c>
      <c r="M37" s="1">
        <v>37053.663194444445</v>
      </c>
      <c r="N37">
        <f t="shared" si="21"/>
        <v>433200.0000001397</v>
      </c>
      <c r="O37">
        <f t="shared" si="22"/>
        <v>17656190.265000425</v>
      </c>
      <c r="P37">
        <f t="shared" si="23"/>
        <v>6450459.8148001563</v>
      </c>
      <c r="Q37">
        <f t="shared" si="24"/>
        <v>12053325.039900292</v>
      </c>
      <c r="R37">
        <f t="shared" si="25"/>
        <v>9391869490349028</v>
      </c>
      <c r="S37">
        <f t="shared" si="26"/>
        <v>1.4827206745827904E+17</v>
      </c>
      <c r="T37">
        <f t="shared" si="27"/>
        <v>7.8831968474314032E+16</v>
      </c>
      <c r="V37" s="1">
        <v>37053.663194444445</v>
      </c>
      <c r="W37">
        <f t="shared" si="28"/>
        <v>433200.0000001397</v>
      </c>
      <c r="X37">
        <f t="shared" si="29"/>
        <v>17468556.203449972</v>
      </c>
      <c r="Y37">
        <f t="shared" si="30"/>
        <v>6382077.6247639898</v>
      </c>
      <c r="Z37">
        <f t="shared" si="31"/>
        <v>11925316.91410698</v>
      </c>
      <c r="AA37">
        <f t="shared" si="32"/>
        <v>1.7599570374975848E+16</v>
      </c>
      <c r="AB37">
        <f t="shared" si="33"/>
        <v>9292305021656368</v>
      </c>
      <c r="AC37">
        <f t="shared" si="34"/>
        <v>1.3445937698316108E+16</v>
      </c>
    </row>
    <row r="38" spans="1:29" x14ac:dyDescent="0.35">
      <c r="A38" s="1">
        <v>37055.652777777781</v>
      </c>
      <c r="B38">
        <v>2.3179999999999996</v>
      </c>
      <c r="C38" s="2">
        <f t="shared" si="11"/>
        <v>0.91609999999999991</v>
      </c>
      <c r="D38">
        <f t="shared" si="12"/>
        <v>0.33515199999999995</v>
      </c>
      <c r="E38">
        <f t="shared" si="13"/>
        <v>922970749.99999988</v>
      </c>
      <c r="F38">
        <f t="shared" si="14"/>
        <v>487981311.99999988</v>
      </c>
      <c r="G38">
        <f t="shared" si="15"/>
        <v>51.030799999999999</v>
      </c>
      <c r="H38">
        <f t="shared" si="16"/>
        <v>18.645415999999994</v>
      </c>
      <c r="I38">
        <f t="shared" si="17"/>
        <v>34.838107999999998</v>
      </c>
      <c r="J38">
        <f t="shared" si="18"/>
        <v>51413531000</v>
      </c>
      <c r="K38">
        <f t="shared" si="19"/>
        <v>27147725696</v>
      </c>
      <c r="L38">
        <f t="shared" si="20"/>
        <v>39280628348</v>
      </c>
      <c r="M38" s="1">
        <v>37055.652777777781</v>
      </c>
      <c r="N38">
        <f t="shared" si="21"/>
        <v>171900.00000020955</v>
      </c>
      <c r="O38">
        <f t="shared" si="22"/>
        <v>17813667.855000619</v>
      </c>
      <c r="P38">
        <f t="shared" si="23"/>
        <v>6508072.4436002262</v>
      </c>
      <c r="Q38">
        <f t="shared" si="24"/>
        <v>12160870.149300423</v>
      </c>
      <c r="R38">
        <f t="shared" si="25"/>
        <v>9475753477881930</v>
      </c>
      <c r="S38">
        <f t="shared" si="26"/>
        <v>1.5293876150542714E+17</v>
      </c>
      <c r="T38">
        <f t="shared" si="27"/>
        <v>8.1207257491654528E+16</v>
      </c>
      <c r="V38" s="1">
        <v>37055.652777777781</v>
      </c>
      <c r="W38">
        <f t="shared" si="28"/>
        <v>171900.00000020955</v>
      </c>
      <c r="X38">
        <f t="shared" si="29"/>
        <v>17564536.56845009</v>
      </c>
      <c r="Y38">
        <f t="shared" si="30"/>
        <v>6417277.931564033</v>
      </c>
      <c r="Z38">
        <f t="shared" si="31"/>
        <v>11990907.250007061</v>
      </c>
      <c r="AA38">
        <f t="shared" si="32"/>
        <v>1.7696270592713466E+16</v>
      </c>
      <c r="AB38">
        <f t="shared" si="33"/>
        <v>9343556668357230</v>
      </c>
      <c r="AC38">
        <f t="shared" si="34"/>
        <v>1.3519913630535348E+16</v>
      </c>
    </row>
    <row r="39" spans="1:29" x14ac:dyDescent="0.35">
      <c r="A39" s="1">
        <v>37078.65625</v>
      </c>
      <c r="B39">
        <v>0.72599999999999998</v>
      </c>
      <c r="C39" s="2">
        <f t="shared" si="11"/>
        <v>0.19969999999999999</v>
      </c>
      <c r="D39">
        <f t="shared" si="12"/>
        <v>7.4064000000000005E-2</v>
      </c>
      <c r="E39">
        <f t="shared" si="13"/>
        <v>201197750</v>
      </c>
      <c r="F39">
        <f t="shared" si="14"/>
        <v>107837184.00000001</v>
      </c>
      <c r="G39">
        <f t="shared" si="15"/>
        <v>51.230499999999999</v>
      </c>
      <c r="H39">
        <f t="shared" si="16"/>
        <v>18.719479999999994</v>
      </c>
      <c r="I39">
        <f t="shared" si="17"/>
        <v>34.974989999999998</v>
      </c>
      <c r="J39">
        <f t="shared" si="18"/>
        <v>51614728750</v>
      </c>
      <c r="K39">
        <f t="shared" si="19"/>
        <v>27255562880</v>
      </c>
      <c r="L39">
        <f t="shared" si="20"/>
        <v>39435145815</v>
      </c>
      <c r="M39" s="1">
        <v>37078.65625</v>
      </c>
      <c r="N39">
        <f t="shared" si="21"/>
        <v>1987499.9999997206</v>
      </c>
      <c r="O39">
        <f t="shared" si="22"/>
        <v>18210571.605000563</v>
      </c>
      <c r="P39">
        <f t="shared" si="23"/>
        <v>6655274.6436002059</v>
      </c>
      <c r="Q39">
        <f t="shared" si="24"/>
        <v>12432923.124300385</v>
      </c>
      <c r="R39">
        <f t="shared" si="25"/>
        <v>9690079881081900</v>
      </c>
      <c r="S39">
        <f t="shared" si="26"/>
        <v>2.0710919272941952E+17</v>
      </c>
      <c r="T39">
        <f t="shared" si="27"/>
        <v>1.083996363052507E+17</v>
      </c>
      <c r="V39" s="1">
        <v>37078.65625</v>
      </c>
      <c r="W39">
        <f t="shared" si="28"/>
        <v>1987499.9999997206</v>
      </c>
      <c r="X39">
        <f t="shared" si="29"/>
        <v>19385285.318449832</v>
      </c>
      <c r="Y39">
        <f t="shared" si="30"/>
        <v>7083392.5315639395</v>
      </c>
      <c r="Z39">
        <f t="shared" si="31"/>
        <v>13234338.925006885</v>
      </c>
      <c r="AA39">
        <f t="shared" si="32"/>
        <v>1.9530674958338208E+16</v>
      </c>
      <c r="AB39">
        <f t="shared" si="33"/>
        <v>1.0313419525957094E+16</v>
      </c>
      <c r="AC39">
        <f t="shared" si="34"/>
        <v>1.4922047242147652E+16</v>
      </c>
    </row>
    <row r="40" spans="1:29" x14ac:dyDescent="0.35">
      <c r="A40" s="1">
        <v>37080.649305555555</v>
      </c>
      <c r="B40">
        <v>3.8420000000000001</v>
      </c>
      <c r="C40" s="2">
        <f t="shared" si="11"/>
        <v>1.6019000000000001</v>
      </c>
      <c r="D40">
        <f t="shared" si="12"/>
        <v>0.58508800000000005</v>
      </c>
      <c r="E40">
        <f t="shared" si="13"/>
        <v>1613914250.0000002</v>
      </c>
      <c r="F40">
        <f t="shared" si="14"/>
        <v>851888128</v>
      </c>
      <c r="G40">
        <f t="shared" si="15"/>
        <v>52.8324</v>
      </c>
      <c r="H40">
        <f t="shared" si="16"/>
        <v>19.304567999999993</v>
      </c>
      <c r="I40">
        <f t="shared" si="17"/>
        <v>36.068483999999998</v>
      </c>
      <c r="J40">
        <f t="shared" si="18"/>
        <v>53228643000</v>
      </c>
      <c r="K40">
        <f t="shared" si="19"/>
        <v>28107451008</v>
      </c>
      <c r="L40">
        <f t="shared" si="20"/>
        <v>40668047004</v>
      </c>
    </row>
    <row r="41" spans="1:29" x14ac:dyDescent="0.35">
      <c r="A41" s="1">
        <v>37082.642361111109</v>
      </c>
      <c r="B41">
        <v>6.9570000000000007</v>
      </c>
      <c r="C41" s="2">
        <f t="shared" si="11"/>
        <v>3.0036500000000004</v>
      </c>
      <c r="D41">
        <f t="shared" si="12"/>
        <v>1.0959480000000001</v>
      </c>
      <c r="E41">
        <f t="shared" si="13"/>
        <v>3026177375.0000005</v>
      </c>
      <c r="F41">
        <f t="shared" si="14"/>
        <v>1595700288</v>
      </c>
      <c r="G41">
        <f t="shared" si="15"/>
        <v>55.83605</v>
      </c>
      <c r="H41">
        <f t="shared" si="16"/>
        <v>20.400515999999993</v>
      </c>
      <c r="I41">
        <f t="shared" si="17"/>
        <v>38.118282999999998</v>
      </c>
      <c r="J41">
        <f t="shared" si="18"/>
        <v>56254820375</v>
      </c>
      <c r="K41">
        <f t="shared" si="19"/>
        <v>29703151296</v>
      </c>
      <c r="L41">
        <f t="shared" si="20"/>
        <v>42978985835.5</v>
      </c>
    </row>
    <row r="42" spans="1:29" x14ac:dyDescent="0.35">
      <c r="A42" s="1">
        <v>37087.652777777781</v>
      </c>
      <c r="B42">
        <v>2.2170000000000001</v>
      </c>
      <c r="C42" s="2">
        <f t="shared" si="11"/>
        <v>0.87065000000000003</v>
      </c>
      <c r="D42">
        <f t="shared" si="12"/>
        <v>0.31858800000000004</v>
      </c>
      <c r="E42">
        <f t="shared" si="13"/>
        <v>877179875</v>
      </c>
      <c r="F42">
        <f t="shared" si="14"/>
        <v>463864128.00000006</v>
      </c>
      <c r="G42">
        <f t="shared" si="15"/>
        <v>56.706699999999998</v>
      </c>
      <c r="H42">
        <f t="shared" si="16"/>
        <v>20.719103999999991</v>
      </c>
      <c r="I42">
        <f t="shared" si="17"/>
        <v>38.712901999999993</v>
      </c>
      <c r="J42">
        <f t="shared" si="18"/>
        <v>57132000250</v>
      </c>
      <c r="K42">
        <f t="shared" si="19"/>
        <v>30167015424</v>
      </c>
      <c r="L42">
        <f t="shared" si="20"/>
        <v>43649507837</v>
      </c>
    </row>
    <row r="43" spans="1:29" x14ac:dyDescent="0.35">
      <c r="A43" s="1">
        <v>37089.131944444445</v>
      </c>
      <c r="B43">
        <v>5.8570000000000002</v>
      </c>
      <c r="C43" s="2">
        <f t="shared" si="11"/>
        <v>2.5086500000000003</v>
      </c>
      <c r="D43">
        <f t="shared" si="12"/>
        <v>0.91554800000000003</v>
      </c>
      <c r="E43">
        <f t="shared" si="13"/>
        <v>2527464875.0000005</v>
      </c>
      <c r="F43">
        <f t="shared" si="14"/>
        <v>1333037888.0000002</v>
      </c>
      <c r="G43">
        <f t="shared" si="15"/>
        <v>59.215350000000001</v>
      </c>
      <c r="H43">
        <f t="shared" si="16"/>
        <v>21.634651999999992</v>
      </c>
      <c r="I43">
        <f t="shared" si="17"/>
        <v>40.425000999999995</v>
      </c>
      <c r="J43">
        <f t="shared" si="18"/>
        <v>59659465125</v>
      </c>
      <c r="K43">
        <f t="shared" si="19"/>
        <v>31500053312</v>
      </c>
      <c r="L43">
        <f t="shared" si="20"/>
        <v>45579759218.5</v>
      </c>
    </row>
    <row r="44" spans="1:29" x14ac:dyDescent="0.35">
      <c r="A44" s="1">
        <v>37089.645833333336</v>
      </c>
      <c r="B44">
        <v>1.9890000000000001</v>
      </c>
      <c r="C44" s="2">
        <f t="shared" si="11"/>
        <v>0.76805000000000001</v>
      </c>
      <c r="D44">
        <f t="shared" si="12"/>
        <v>0.28119600000000006</v>
      </c>
      <c r="E44">
        <f t="shared" si="13"/>
        <v>773810375</v>
      </c>
      <c r="F44">
        <f t="shared" si="14"/>
        <v>409421376.00000006</v>
      </c>
      <c r="G44">
        <f t="shared" si="15"/>
        <v>59.983400000000003</v>
      </c>
      <c r="H44">
        <f t="shared" si="16"/>
        <v>21.915847999999993</v>
      </c>
      <c r="I44">
        <f t="shared" si="17"/>
        <v>40.949624</v>
      </c>
      <c r="J44">
        <f t="shared" si="18"/>
        <v>60433275500</v>
      </c>
      <c r="K44">
        <f t="shared" si="19"/>
        <v>31909474688</v>
      </c>
      <c r="L44">
        <f t="shared" si="20"/>
        <v>46171375094</v>
      </c>
    </row>
    <row r="45" spans="1:29" x14ac:dyDescent="0.35">
      <c r="A45" s="1">
        <v>37091.635416666664</v>
      </c>
      <c r="B45">
        <v>3.2239999999999998</v>
      </c>
      <c r="C45" s="2">
        <f t="shared" si="11"/>
        <v>1.3237999999999999</v>
      </c>
      <c r="D45">
        <f t="shared" si="12"/>
        <v>0.483736</v>
      </c>
      <c r="E45">
        <f t="shared" si="13"/>
        <v>1333728499.9999998</v>
      </c>
      <c r="F45">
        <f t="shared" si="14"/>
        <v>704319616</v>
      </c>
      <c r="G45">
        <f t="shared" si="15"/>
        <v>61.307200000000002</v>
      </c>
      <c r="H45">
        <f t="shared" si="16"/>
        <v>22.399583999999994</v>
      </c>
      <c r="I45">
        <f t="shared" si="17"/>
        <v>41.853391999999999</v>
      </c>
      <c r="J45">
        <f t="shared" si="18"/>
        <v>61767004000</v>
      </c>
      <c r="K45">
        <f t="shared" si="19"/>
        <v>32613794304</v>
      </c>
      <c r="L45">
        <f t="shared" si="20"/>
        <v>47190399152</v>
      </c>
      <c r="O45">
        <f>MAX(C2:C38)</f>
        <v>4.6052</v>
      </c>
      <c r="P45">
        <f t="shared" ref="P45:R45" si="35">MAX(D2:D38)</f>
        <v>1.6796240000000002</v>
      </c>
      <c r="Q45">
        <f t="shared" si="35"/>
        <v>4639739000</v>
      </c>
      <c r="R45">
        <f t="shared" si="35"/>
        <v>2445532544.0000005</v>
      </c>
    </row>
    <row r="46" spans="1:29" x14ac:dyDescent="0.35">
      <c r="A46" s="1">
        <v>37094.65625</v>
      </c>
      <c r="B46">
        <v>1.744</v>
      </c>
      <c r="C46" s="2">
        <f t="shared" si="11"/>
        <v>0.65780000000000005</v>
      </c>
      <c r="D46">
        <f t="shared" si="12"/>
        <v>0.24101600000000001</v>
      </c>
      <c r="E46">
        <f t="shared" si="13"/>
        <v>662733500.00000012</v>
      </c>
      <c r="F46">
        <f t="shared" si="14"/>
        <v>350919296</v>
      </c>
      <c r="G46">
        <f t="shared" si="15"/>
        <v>61.965000000000003</v>
      </c>
      <c r="H46">
        <f t="shared" si="16"/>
        <v>22.640599999999992</v>
      </c>
      <c r="I46">
        <f t="shared" si="17"/>
        <v>42.302799999999998</v>
      </c>
      <c r="J46">
        <f t="shared" si="18"/>
        <v>62429737500</v>
      </c>
      <c r="K46">
        <f t="shared" si="19"/>
        <v>32964713600</v>
      </c>
      <c r="L46">
        <f t="shared" si="20"/>
        <v>47697225550</v>
      </c>
      <c r="O46">
        <f>MIN(C2:C38)</f>
        <v>0.12005000000000002</v>
      </c>
      <c r="P46">
        <f>MIN(D2:D38)</f>
        <v>4.5036000000000007E-2</v>
      </c>
      <c r="Q46">
        <f>MIN(E2:E38)</f>
        <v>120950375.00000001</v>
      </c>
      <c r="R46">
        <f>MIN(F2:F38)</f>
        <v>65572416.000000015</v>
      </c>
    </row>
    <row r="47" spans="1:29" x14ac:dyDescent="0.35">
      <c r="A47" s="1">
        <v>37107.635416666664</v>
      </c>
      <c r="B47">
        <v>1.738</v>
      </c>
      <c r="C47" s="2">
        <f t="shared" si="11"/>
        <v>0.65510000000000002</v>
      </c>
      <c r="D47">
        <f t="shared" si="12"/>
        <v>0.24003200000000002</v>
      </c>
      <c r="E47">
        <f t="shared" si="13"/>
        <v>660013250</v>
      </c>
      <c r="F47">
        <f t="shared" si="14"/>
        <v>349486592</v>
      </c>
      <c r="G47">
        <f t="shared" si="15"/>
        <v>62.620100000000001</v>
      </c>
      <c r="H47">
        <f t="shared" si="16"/>
        <v>22.880631999999991</v>
      </c>
      <c r="I47">
        <f t="shared" si="17"/>
        <v>42.750366</v>
      </c>
      <c r="J47">
        <f t="shared" si="18"/>
        <v>63089750750</v>
      </c>
      <c r="K47">
        <f t="shared" si="19"/>
        <v>33314200192</v>
      </c>
      <c r="L47">
        <f t="shared" si="20"/>
        <v>48201975471</v>
      </c>
      <c r="O47">
        <f>AVERAGE(C2:C38)</f>
        <v>1.3792108108108108</v>
      </c>
      <c r="P47">
        <f t="shared" ref="P47:R47" si="36">AVERAGE(D2:D38)</f>
        <v>0.50393016216216202</v>
      </c>
      <c r="Q47">
        <f t="shared" si="36"/>
        <v>1389554891.891892</v>
      </c>
      <c r="R47">
        <f t="shared" si="36"/>
        <v>733722316.10810816</v>
      </c>
    </row>
    <row r="48" spans="1:29" x14ac:dyDescent="0.35">
      <c r="A48" s="1">
        <v>37109.628472222219</v>
      </c>
      <c r="B48">
        <v>1.0720000000000001</v>
      </c>
      <c r="C48" s="2">
        <f t="shared" si="11"/>
        <v>0.35540000000000005</v>
      </c>
      <c r="D48">
        <f t="shared" si="12"/>
        <v>0.13080800000000004</v>
      </c>
      <c r="E48">
        <f t="shared" si="13"/>
        <v>358065500.00000006</v>
      </c>
      <c r="F48">
        <f t="shared" si="14"/>
        <v>190456448.00000006</v>
      </c>
      <c r="G48">
        <f t="shared" si="15"/>
        <v>62.975500000000004</v>
      </c>
      <c r="H48">
        <f t="shared" si="16"/>
        <v>23.011439999999993</v>
      </c>
      <c r="I48">
        <f t="shared" si="17"/>
        <v>42.993470000000002</v>
      </c>
      <c r="J48">
        <f t="shared" si="18"/>
        <v>63447816250</v>
      </c>
      <c r="K48">
        <f t="shared" si="19"/>
        <v>33504656640</v>
      </c>
      <c r="L48">
        <f t="shared" si="20"/>
        <v>48476236445</v>
      </c>
    </row>
    <row r="49" spans="1:12" x14ac:dyDescent="0.35">
      <c r="A49" s="1">
        <v>37110.65625</v>
      </c>
      <c r="B49">
        <v>2.84</v>
      </c>
      <c r="C49" s="2">
        <f t="shared" si="11"/>
        <v>1.151</v>
      </c>
      <c r="D49">
        <f t="shared" si="12"/>
        <v>0.42076000000000002</v>
      </c>
      <c r="E49">
        <f t="shared" si="13"/>
        <v>1159632500</v>
      </c>
      <c r="F49">
        <f t="shared" si="14"/>
        <v>612626560.00000012</v>
      </c>
      <c r="G49">
        <f t="shared" si="15"/>
        <v>64.126500000000007</v>
      </c>
      <c r="H49">
        <f t="shared" si="16"/>
        <v>23.432199999999995</v>
      </c>
      <c r="I49">
        <f t="shared" si="17"/>
        <v>43.779350000000001</v>
      </c>
      <c r="J49">
        <f t="shared" si="18"/>
        <v>64607448750</v>
      </c>
      <c r="K49">
        <f t="shared" si="19"/>
        <v>34117283200</v>
      </c>
      <c r="L49">
        <f t="shared" si="20"/>
        <v>49362365975</v>
      </c>
    </row>
    <row r="50" spans="1:12" x14ac:dyDescent="0.35">
      <c r="A50" s="1">
        <v>37112.649305555555</v>
      </c>
      <c r="B50">
        <v>1.9490000000000001</v>
      </c>
      <c r="C50" s="2">
        <f t="shared" si="11"/>
        <v>0.75004999999999999</v>
      </c>
      <c r="D50">
        <f t="shared" si="12"/>
        <v>0.27463600000000005</v>
      </c>
      <c r="E50">
        <f t="shared" si="13"/>
        <v>755675375</v>
      </c>
      <c r="F50">
        <f t="shared" si="14"/>
        <v>399870016.00000006</v>
      </c>
      <c r="G50">
        <f t="shared" si="15"/>
        <v>64.876550000000009</v>
      </c>
      <c r="H50">
        <f t="shared" si="16"/>
        <v>23.706835999999996</v>
      </c>
      <c r="I50">
        <f t="shared" si="17"/>
        <v>44.291693000000002</v>
      </c>
      <c r="J50">
        <f t="shared" si="18"/>
        <v>65363124125</v>
      </c>
      <c r="K50">
        <f t="shared" si="19"/>
        <v>34517153216</v>
      </c>
      <c r="L50">
        <f t="shared" si="20"/>
        <v>49940138670.5</v>
      </c>
    </row>
    <row r="51" spans="1:12" x14ac:dyDescent="0.35">
      <c r="A51" s="1">
        <v>37114.638888888891</v>
      </c>
      <c r="B51">
        <v>1.387</v>
      </c>
      <c r="C51" s="2">
        <f t="shared" si="11"/>
        <v>0.49714999999999998</v>
      </c>
      <c r="D51">
        <f t="shared" si="12"/>
        <v>0.18246800000000002</v>
      </c>
      <c r="E51">
        <f t="shared" si="13"/>
        <v>500878624.99999994</v>
      </c>
      <c r="F51">
        <f t="shared" si="14"/>
        <v>265673408</v>
      </c>
      <c r="G51">
        <f t="shared" si="15"/>
        <v>65.373700000000014</v>
      </c>
      <c r="H51">
        <f t="shared" si="16"/>
        <v>23.889303999999996</v>
      </c>
      <c r="I51">
        <f t="shared" si="17"/>
        <v>44.631502000000005</v>
      </c>
      <c r="J51">
        <f t="shared" si="18"/>
        <v>65864002750</v>
      </c>
      <c r="K51">
        <f t="shared" si="19"/>
        <v>34782826624</v>
      </c>
      <c r="L51">
        <f t="shared" si="20"/>
        <v>50323414687</v>
      </c>
    </row>
    <row r="52" spans="1:12" x14ac:dyDescent="0.35">
      <c r="A52" s="1">
        <v>37119.652777777781</v>
      </c>
      <c r="B52">
        <v>1.694</v>
      </c>
      <c r="C52" s="2">
        <f t="shared" si="11"/>
        <v>0.63529999999999998</v>
      </c>
      <c r="D52">
        <f t="shared" si="12"/>
        <v>0.23281600000000002</v>
      </c>
      <c r="E52">
        <f t="shared" si="13"/>
        <v>640064750</v>
      </c>
      <c r="F52">
        <f t="shared" si="14"/>
        <v>338980096.00000006</v>
      </c>
      <c r="G52">
        <f t="shared" si="15"/>
        <v>66.009000000000015</v>
      </c>
      <c r="H52">
        <f t="shared" si="16"/>
        <v>24.122119999999995</v>
      </c>
      <c r="I52">
        <f t="shared" si="17"/>
        <v>45.065560000000005</v>
      </c>
      <c r="J52">
        <f t="shared" si="18"/>
        <v>66504067500</v>
      </c>
      <c r="K52">
        <f t="shared" si="19"/>
        <v>35121806720</v>
      </c>
      <c r="L52">
        <f t="shared" si="20"/>
        <v>50812937110</v>
      </c>
    </row>
    <row r="53" spans="1:12" x14ac:dyDescent="0.35">
      <c r="A53" s="1">
        <v>37121.645833333336</v>
      </c>
      <c r="B53">
        <v>0.98099999999999998</v>
      </c>
      <c r="C53" s="2">
        <f t="shared" si="11"/>
        <v>0.31445000000000001</v>
      </c>
      <c r="D53">
        <f t="shared" si="12"/>
        <v>0.115884</v>
      </c>
      <c r="E53">
        <f t="shared" si="13"/>
        <v>316808375</v>
      </c>
      <c r="F53">
        <f t="shared" si="14"/>
        <v>168727104</v>
      </c>
      <c r="G53">
        <f t="shared" si="15"/>
        <v>66.323450000000008</v>
      </c>
      <c r="H53">
        <f t="shared" si="16"/>
        <v>24.238003999999997</v>
      </c>
      <c r="I53">
        <f t="shared" si="17"/>
        <v>45.280726999999999</v>
      </c>
      <c r="J53">
        <f t="shared" si="18"/>
        <v>66820875875</v>
      </c>
      <c r="K53">
        <f t="shared" si="19"/>
        <v>35290533824</v>
      </c>
      <c r="L53">
        <f t="shared" si="20"/>
        <v>51055704849.5</v>
      </c>
    </row>
    <row r="54" spans="1:12" x14ac:dyDescent="0.35">
      <c r="A54" s="1">
        <v>37123.635416666664</v>
      </c>
      <c r="B54">
        <v>3.4510000000000001</v>
      </c>
      <c r="C54" s="2">
        <f t="shared" si="11"/>
        <v>1.4259500000000001</v>
      </c>
      <c r="D54">
        <f t="shared" si="12"/>
        <v>0.52096399999999998</v>
      </c>
      <c r="E54">
        <f t="shared" si="13"/>
        <v>1436644625</v>
      </c>
      <c r="F54">
        <f t="shared" si="14"/>
        <v>758523584</v>
      </c>
      <c r="G54">
        <f t="shared" si="15"/>
        <v>67.749400000000009</v>
      </c>
      <c r="H54">
        <f t="shared" si="16"/>
        <v>24.758967999999996</v>
      </c>
      <c r="I54">
        <f t="shared" si="17"/>
        <v>46.254184000000002</v>
      </c>
      <c r="J54">
        <f t="shared" si="18"/>
        <v>68257520500</v>
      </c>
      <c r="K54">
        <f t="shared" si="19"/>
        <v>36049057408</v>
      </c>
      <c r="L54">
        <f t="shared" si="20"/>
        <v>52153288954</v>
      </c>
    </row>
    <row r="55" spans="1:12" x14ac:dyDescent="0.35">
      <c r="A55" s="1">
        <v>37125.628472222219</v>
      </c>
      <c r="B55">
        <v>1.675</v>
      </c>
      <c r="C55" s="2">
        <f t="shared" si="11"/>
        <v>0.62675000000000003</v>
      </c>
      <c r="D55">
        <f t="shared" si="12"/>
        <v>0.22970000000000002</v>
      </c>
      <c r="E55">
        <f t="shared" si="13"/>
        <v>631450625.00000012</v>
      </c>
      <c r="F55">
        <f t="shared" si="14"/>
        <v>334443200</v>
      </c>
      <c r="G55">
        <f t="shared" si="15"/>
        <v>68.37615000000001</v>
      </c>
      <c r="H55">
        <f t="shared" si="16"/>
        <v>24.988667999999997</v>
      </c>
      <c r="I55">
        <f t="shared" si="17"/>
        <v>46.682409000000007</v>
      </c>
      <c r="J55">
        <f t="shared" si="18"/>
        <v>68888971125</v>
      </c>
      <c r="K55">
        <f t="shared" si="19"/>
        <v>36383500608</v>
      </c>
      <c r="L55">
        <f t="shared" si="20"/>
        <v>52636235866.5</v>
      </c>
    </row>
    <row r="56" spans="1:12" x14ac:dyDescent="0.35">
      <c r="A56" s="1">
        <v>37126.145833333336</v>
      </c>
      <c r="B56">
        <v>7.1489999999999991</v>
      </c>
      <c r="C56" s="2">
        <f t="shared" si="11"/>
        <v>3.0900499999999997</v>
      </c>
      <c r="D56">
        <f t="shared" si="12"/>
        <v>1.1274359999999999</v>
      </c>
      <c r="E56">
        <f t="shared" si="13"/>
        <v>3113225374.9999995</v>
      </c>
      <c r="F56">
        <f t="shared" si="14"/>
        <v>1641546815.9999998</v>
      </c>
      <c r="G56">
        <f t="shared" si="15"/>
        <v>71.466200000000015</v>
      </c>
      <c r="H56">
        <f t="shared" si="16"/>
        <v>26.116103999999996</v>
      </c>
      <c r="I56">
        <f t="shared" si="17"/>
        <v>48.791152000000004</v>
      </c>
      <c r="J56">
        <f t="shared" si="18"/>
        <v>72002196500</v>
      </c>
      <c r="K56">
        <f t="shared" si="19"/>
        <v>38025047424</v>
      </c>
      <c r="L56">
        <f t="shared" si="20"/>
        <v>55013621962</v>
      </c>
    </row>
    <row r="57" spans="1:12" x14ac:dyDescent="0.35">
      <c r="A57" s="1">
        <v>37128.135416666664</v>
      </c>
      <c r="B57">
        <v>3.0059999999999998</v>
      </c>
      <c r="C57" s="2">
        <f t="shared" si="11"/>
        <v>1.2257</v>
      </c>
      <c r="D57">
        <f t="shared" si="12"/>
        <v>0.44798399999999999</v>
      </c>
      <c r="E57">
        <f t="shared" si="13"/>
        <v>1234892750</v>
      </c>
      <c r="F57">
        <f t="shared" si="14"/>
        <v>652264704</v>
      </c>
      <c r="G57">
        <f t="shared" si="15"/>
        <v>72.691900000000018</v>
      </c>
      <c r="H57">
        <f t="shared" si="16"/>
        <v>26.564087999999998</v>
      </c>
      <c r="I57">
        <f t="shared" si="17"/>
        <v>49.627994000000008</v>
      </c>
      <c r="J57">
        <f t="shared" si="18"/>
        <v>73237089250</v>
      </c>
      <c r="K57">
        <f t="shared" si="19"/>
        <v>38677312128</v>
      </c>
      <c r="L57">
        <f t="shared" si="20"/>
        <v>55957200689</v>
      </c>
    </row>
    <row r="58" spans="1:12" x14ac:dyDescent="0.35">
      <c r="A58" s="1">
        <v>37128.649305555555</v>
      </c>
      <c r="B58">
        <v>1.113</v>
      </c>
      <c r="C58" s="2">
        <f t="shared" si="11"/>
        <v>0.37385000000000002</v>
      </c>
      <c r="D58">
        <f t="shared" si="12"/>
        <v>0.13753199999999999</v>
      </c>
      <c r="E58">
        <f t="shared" si="13"/>
        <v>376653875</v>
      </c>
      <c r="F58">
        <f t="shared" si="14"/>
        <v>200246592</v>
      </c>
      <c r="G58">
        <f t="shared" si="15"/>
        <v>73.065750000000023</v>
      </c>
      <c r="H58">
        <f t="shared" si="16"/>
        <v>26.701619999999998</v>
      </c>
      <c r="I58">
        <f t="shared" si="17"/>
        <v>49.883685000000014</v>
      </c>
      <c r="J58">
        <f t="shared" si="18"/>
        <v>73613743125</v>
      </c>
      <c r="K58">
        <f t="shared" si="19"/>
        <v>38877558720</v>
      </c>
      <c r="L58">
        <f t="shared" si="20"/>
        <v>56245650922.5</v>
      </c>
    </row>
    <row r="59" spans="1:12" x14ac:dyDescent="0.35">
      <c r="A59" s="1">
        <v>37132.631944444445</v>
      </c>
      <c r="B59">
        <v>2.0030000000000001</v>
      </c>
      <c r="C59" s="2">
        <f t="shared" si="11"/>
        <v>0.77435000000000009</v>
      </c>
      <c r="D59">
        <f t="shared" si="12"/>
        <v>0.28349200000000002</v>
      </c>
      <c r="E59">
        <f t="shared" si="13"/>
        <v>780157625.00000012</v>
      </c>
      <c r="F59">
        <f t="shared" si="14"/>
        <v>412764352</v>
      </c>
      <c r="G59">
        <f t="shared" si="15"/>
        <v>73.840100000000021</v>
      </c>
      <c r="H59">
        <f t="shared" si="16"/>
        <v>26.985111999999997</v>
      </c>
      <c r="I59">
        <f t="shared" si="17"/>
        <v>50.412606000000011</v>
      </c>
      <c r="J59">
        <f t="shared" si="18"/>
        <v>74393900750</v>
      </c>
      <c r="K59">
        <f t="shared" si="19"/>
        <v>39290323072</v>
      </c>
      <c r="L59">
        <f t="shared" si="20"/>
        <v>56842111911</v>
      </c>
    </row>
    <row r="60" spans="1:12" x14ac:dyDescent="0.35">
      <c r="A60" s="1">
        <v>37133.659722222219</v>
      </c>
      <c r="B60">
        <v>1.05</v>
      </c>
      <c r="C60" s="2">
        <f t="shared" si="11"/>
        <v>0.34550000000000003</v>
      </c>
      <c r="D60">
        <f t="shared" si="12"/>
        <v>0.12720000000000004</v>
      </c>
      <c r="E60">
        <f t="shared" si="13"/>
        <v>348091250</v>
      </c>
      <c r="F60">
        <f t="shared" si="14"/>
        <v>185203200.00000006</v>
      </c>
      <c r="G60">
        <f t="shared" si="15"/>
        <v>74.185600000000022</v>
      </c>
      <c r="H60">
        <f t="shared" si="16"/>
        <v>27.112311999999996</v>
      </c>
      <c r="I60">
        <f t="shared" si="17"/>
        <v>50.648956000000013</v>
      </c>
      <c r="J60">
        <f t="shared" si="18"/>
        <v>74741992000</v>
      </c>
      <c r="K60">
        <f t="shared" si="19"/>
        <v>39475526272</v>
      </c>
      <c r="L60">
        <f t="shared" si="20"/>
        <v>57108759136</v>
      </c>
    </row>
    <row r="61" spans="1:12" x14ac:dyDescent="0.35">
      <c r="A61" s="1">
        <v>37135.138888888891</v>
      </c>
      <c r="B61">
        <v>2.8639999999999999</v>
      </c>
      <c r="C61" s="2">
        <f t="shared" si="11"/>
        <v>1.1617999999999999</v>
      </c>
      <c r="D61">
        <f t="shared" si="12"/>
        <v>0.42469600000000002</v>
      </c>
      <c r="E61">
        <f t="shared" si="13"/>
        <v>1170513500</v>
      </c>
      <c r="F61">
        <f t="shared" si="14"/>
        <v>618357376.00000012</v>
      </c>
      <c r="G61">
        <f t="shared" si="15"/>
        <v>75.347400000000022</v>
      </c>
      <c r="H61">
        <f t="shared" si="16"/>
        <v>27.537007999999997</v>
      </c>
      <c r="I61">
        <f t="shared" si="17"/>
        <v>51.442204000000011</v>
      </c>
      <c r="J61">
        <f t="shared" si="18"/>
        <v>75912505500</v>
      </c>
      <c r="K61">
        <f t="shared" si="19"/>
        <v>40093883648</v>
      </c>
      <c r="L61">
        <f t="shared" si="20"/>
        <v>58003194574</v>
      </c>
    </row>
    <row r="62" spans="1:12" x14ac:dyDescent="0.35">
      <c r="A62" s="1">
        <v>37135.652777777781</v>
      </c>
      <c r="B62">
        <v>1.0720000000000001</v>
      </c>
      <c r="C62" s="2">
        <f t="shared" si="11"/>
        <v>0.35540000000000005</v>
      </c>
      <c r="D62">
        <f t="shared" si="12"/>
        <v>0.13080800000000004</v>
      </c>
      <c r="E62">
        <f t="shared" si="13"/>
        <v>358065500.00000006</v>
      </c>
      <c r="F62">
        <f t="shared" si="14"/>
        <v>190456448.00000006</v>
      </c>
      <c r="G62">
        <f t="shared" si="15"/>
        <v>75.702800000000025</v>
      </c>
      <c r="H62">
        <f t="shared" si="16"/>
        <v>27.667815999999995</v>
      </c>
      <c r="I62">
        <f t="shared" si="17"/>
        <v>51.685308000000006</v>
      </c>
      <c r="J62">
        <f t="shared" si="18"/>
        <v>76270571000</v>
      </c>
      <c r="K62">
        <f t="shared" si="19"/>
        <v>40284340096</v>
      </c>
      <c r="L62">
        <f t="shared" si="20"/>
        <v>58277455548</v>
      </c>
    </row>
    <row r="63" spans="1:12" x14ac:dyDescent="0.35">
      <c r="A63" s="1">
        <v>37137.131944444445</v>
      </c>
      <c r="B63">
        <v>3.0939999999999999</v>
      </c>
      <c r="C63" s="2">
        <f t="shared" si="11"/>
        <v>1.2652999999999999</v>
      </c>
      <c r="D63">
        <f t="shared" si="12"/>
        <v>0.46241599999999999</v>
      </c>
      <c r="E63">
        <f t="shared" si="13"/>
        <v>1274789750</v>
      </c>
      <c r="F63">
        <f t="shared" si="14"/>
        <v>673277696</v>
      </c>
      <c r="G63">
        <f t="shared" si="15"/>
        <v>76.968100000000021</v>
      </c>
      <c r="H63">
        <f t="shared" si="16"/>
        <v>28.130231999999996</v>
      </c>
      <c r="I63">
        <f t="shared" si="17"/>
        <v>52.549166000000007</v>
      </c>
      <c r="J63">
        <f t="shared" si="18"/>
        <v>77545360750</v>
      </c>
      <c r="K63">
        <f t="shared" si="19"/>
        <v>40957617792</v>
      </c>
      <c r="L63">
        <f t="shared" si="20"/>
        <v>59251489271</v>
      </c>
    </row>
    <row r="64" spans="1:12" x14ac:dyDescent="0.35">
      <c r="A64" s="1">
        <v>37137.642361111109</v>
      </c>
      <c r="B64">
        <v>0.97099999999999997</v>
      </c>
      <c r="C64" s="2">
        <f t="shared" si="11"/>
        <v>0.30995</v>
      </c>
      <c r="D64">
        <f t="shared" si="12"/>
        <v>0.114244</v>
      </c>
      <c r="E64">
        <f t="shared" si="13"/>
        <v>312274625</v>
      </c>
      <c r="F64">
        <f t="shared" si="14"/>
        <v>166339264</v>
      </c>
      <c r="G64">
        <f t="shared" si="15"/>
        <v>77.278050000000022</v>
      </c>
      <c r="H64">
        <f t="shared" si="16"/>
        <v>28.244475999999995</v>
      </c>
      <c r="I64">
        <f t="shared" si="17"/>
        <v>52.761263000000007</v>
      </c>
      <c r="J64">
        <f t="shared" si="18"/>
        <v>77857635375</v>
      </c>
      <c r="K64">
        <f t="shared" si="19"/>
        <v>41123957056</v>
      </c>
      <c r="L64">
        <f t="shared" si="20"/>
        <v>59490796215.5</v>
      </c>
    </row>
    <row r="65" spans="1:12" x14ac:dyDescent="0.35">
      <c r="A65" s="1">
        <v>37139.635416666664</v>
      </c>
      <c r="B65">
        <v>4.7569999999999997</v>
      </c>
      <c r="C65" s="2">
        <f t="shared" si="11"/>
        <v>2.0136500000000002</v>
      </c>
      <c r="D65">
        <f t="shared" si="12"/>
        <v>0.73514799999999991</v>
      </c>
      <c r="E65">
        <f t="shared" si="13"/>
        <v>2028752375.0000002</v>
      </c>
      <c r="F65">
        <f t="shared" si="14"/>
        <v>1070375487.9999999</v>
      </c>
      <c r="G65">
        <f t="shared" si="15"/>
        <v>79.29170000000002</v>
      </c>
      <c r="H65">
        <f t="shared" si="16"/>
        <v>28.979623999999994</v>
      </c>
      <c r="I65">
        <f t="shared" si="17"/>
        <v>54.135662000000011</v>
      </c>
      <c r="J65">
        <f t="shared" si="18"/>
        <v>79886387750</v>
      </c>
      <c r="K65">
        <f t="shared" si="19"/>
        <v>42194332544</v>
      </c>
      <c r="L65">
        <f t="shared" si="20"/>
        <v>61040360147</v>
      </c>
    </row>
    <row r="66" spans="1:12" x14ac:dyDescent="0.35">
      <c r="A66" s="1">
        <v>37144.135416666664</v>
      </c>
      <c r="B66">
        <v>2.76</v>
      </c>
      <c r="C66" s="2">
        <f t="shared" si="11"/>
        <v>1.115</v>
      </c>
      <c r="D66">
        <f t="shared" si="12"/>
        <v>0.40764</v>
      </c>
      <c r="E66">
        <f t="shared" si="13"/>
        <v>1123362500</v>
      </c>
      <c r="F66">
        <f t="shared" si="14"/>
        <v>593523840</v>
      </c>
      <c r="G66">
        <f t="shared" si="15"/>
        <v>80.406700000000015</v>
      </c>
      <c r="H66">
        <f t="shared" si="16"/>
        <v>29.387263999999995</v>
      </c>
      <c r="I66">
        <f t="shared" si="17"/>
        <v>54.896982000000008</v>
      </c>
      <c r="J66">
        <f t="shared" si="18"/>
        <v>81009750250</v>
      </c>
      <c r="K66">
        <f t="shared" si="19"/>
        <v>42787856384</v>
      </c>
      <c r="L66">
        <f t="shared" si="20"/>
        <v>61898803317</v>
      </c>
    </row>
    <row r="67" spans="1:12" x14ac:dyDescent="0.35">
      <c r="A67" s="1">
        <v>37144.649305555555</v>
      </c>
      <c r="B67">
        <v>2.3929999999999998</v>
      </c>
      <c r="C67" s="2">
        <f t="shared" si="11"/>
        <v>0.94984999999999986</v>
      </c>
      <c r="D67">
        <f t="shared" si="12"/>
        <v>0.34745199999999998</v>
      </c>
      <c r="E67">
        <f t="shared" si="13"/>
        <v>956973874.99999988</v>
      </c>
      <c r="F67">
        <f t="shared" si="14"/>
        <v>505890112</v>
      </c>
      <c r="G67">
        <f t="shared" si="15"/>
        <v>81.356550000000013</v>
      </c>
      <c r="H67">
        <f t="shared" si="16"/>
        <v>29.734715999999995</v>
      </c>
      <c r="I67">
        <f t="shared" si="17"/>
        <v>55.545633000000002</v>
      </c>
      <c r="J67">
        <f t="shared" si="18"/>
        <v>81966724125</v>
      </c>
      <c r="K67">
        <f t="shared" si="19"/>
        <v>43293746496</v>
      </c>
      <c r="L67">
        <f t="shared" si="20"/>
        <v>62630235310.5</v>
      </c>
    </row>
    <row r="68" spans="1:12" x14ac:dyDescent="0.35">
      <c r="A68" s="1">
        <v>37151.652777777781</v>
      </c>
      <c r="B68">
        <v>1.3149999999999999</v>
      </c>
      <c r="C68" s="2">
        <f t="shared" ref="C68:C131" si="37">(0.45*B68)-0.127</f>
        <v>0.46475</v>
      </c>
      <c r="D68">
        <f t="shared" ref="D68:D131" si="38">(0.164*B68)-0.045</f>
        <v>0.17065999999999998</v>
      </c>
      <c r="E68">
        <f t="shared" ref="E68:E131" si="39">C68*2600*(1150*200+350000*0.45)</f>
        <v>468235624.99999994</v>
      </c>
      <c r="F68">
        <f t="shared" ref="F68:F131" si="40">D68*2600*(1150*350+350000*0.45)</f>
        <v>248480959.99999997</v>
      </c>
      <c r="G68">
        <f t="shared" ref="G68:G131" si="41">C68+G67</f>
        <v>81.821300000000008</v>
      </c>
      <c r="H68">
        <f t="shared" ref="H68:H131" si="42">D68+H67</f>
        <v>29.905375999999997</v>
      </c>
      <c r="I68">
        <f t="shared" ref="I68:I131" si="43">(G68+H68)/2</f>
        <v>55.863337999999999</v>
      </c>
      <c r="J68">
        <f t="shared" ref="J68:J131" si="44">E68+J67</f>
        <v>82434959750</v>
      </c>
      <c r="K68">
        <f t="shared" ref="K68:K131" si="45">F68+K67</f>
        <v>43542227456</v>
      </c>
      <c r="L68">
        <f t="shared" ref="L68:L131" si="46">(J68+K68)/2</f>
        <v>62988593603</v>
      </c>
    </row>
    <row r="69" spans="1:12" x14ac:dyDescent="0.35">
      <c r="A69" s="1">
        <v>37153.131944444445</v>
      </c>
      <c r="B69">
        <v>4.4329999999999998</v>
      </c>
      <c r="C69" s="2">
        <f t="shared" si="37"/>
        <v>1.86785</v>
      </c>
      <c r="D69">
        <f t="shared" si="38"/>
        <v>0.68201199999999995</v>
      </c>
      <c r="E69">
        <f t="shared" si="39"/>
        <v>1881858875</v>
      </c>
      <c r="F69">
        <f t="shared" si="40"/>
        <v>993009472</v>
      </c>
      <c r="G69">
        <f t="shared" si="41"/>
        <v>83.689150000000012</v>
      </c>
      <c r="H69">
        <f t="shared" si="42"/>
        <v>30.587387999999997</v>
      </c>
      <c r="I69">
        <f t="shared" si="43"/>
        <v>57.138269000000008</v>
      </c>
      <c r="J69">
        <f t="shared" si="44"/>
        <v>84316818625</v>
      </c>
      <c r="K69">
        <f t="shared" si="45"/>
        <v>44535236928</v>
      </c>
      <c r="L69">
        <f t="shared" si="46"/>
        <v>64426027776.5</v>
      </c>
    </row>
    <row r="70" spans="1:12" x14ac:dyDescent="0.35">
      <c r="A70" s="1">
        <v>37153.642361111109</v>
      </c>
      <c r="B70">
        <v>2.0469999999999997</v>
      </c>
      <c r="C70" s="2">
        <f t="shared" si="37"/>
        <v>0.79414999999999991</v>
      </c>
      <c r="D70">
        <f t="shared" si="38"/>
        <v>0.29070799999999997</v>
      </c>
      <c r="E70">
        <f t="shared" si="39"/>
        <v>800106125</v>
      </c>
      <c r="F70">
        <f t="shared" si="40"/>
        <v>423270847.99999994</v>
      </c>
      <c r="G70">
        <f t="shared" si="41"/>
        <v>84.483300000000014</v>
      </c>
      <c r="H70">
        <f t="shared" si="42"/>
        <v>30.878095999999996</v>
      </c>
      <c r="I70">
        <f t="shared" si="43"/>
        <v>57.680698000000007</v>
      </c>
      <c r="J70">
        <f t="shared" si="44"/>
        <v>85116924750</v>
      </c>
      <c r="K70">
        <f t="shared" si="45"/>
        <v>44958507776</v>
      </c>
      <c r="L70">
        <f t="shared" si="46"/>
        <v>65037716263</v>
      </c>
    </row>
    <row r="71" spans="1:12" x14ac:dyDescent="0.35">
      <c r="A71" s="1">
        <v>37155.635416666664</v>
      </c>
      <c r="B71">
        <v>3.4829999999999997</v>
      </c>
      <c r="C71" s="2">
        <f t="shared" si="37"/>
        <v>1.4403499999999998</v>
      </c>
      <c r="D71">
        <f t="shared" si="38"/>
        <v>0.5262119999999999</v>
      </c>
      <c r="E71">
        <f t="shared" si="39"/>
        <v>1451152624.9999998</v>
      </c>
      <c r="F71">
        <f t="shared" si="40"/>
        <v>766164671.99999988</v>
      </c>
      <c r="G71">
        <f t="shared" si="41"/>
        <v>85.923650000000009</v>
      </c>
      <c r="H71">
        <f t="shared" si="42"/>
        <v>31.404307999999997</v>
      </c>
      <c r="I71">
        <f t="shared" si="43"/>
        <v>58.663979000000005</v>
      </c>
      <c r="J71">
        <f t="shared" si="44"/>
        <v>86568077375</v>
      </c>
      <c r="K71">
        <f t="shared" si="45"/>
        <v>45724672448</v>
      </c>
      <c r="L71">
        <f t="shared" si="46"/>
        <v>66146374911.5</v>
      </c>
    </row>
    <row r="72" spans="1:12" x14ac:dyDescent="0.35">
      <c r="A72" s="1">
        <v>37156.663194444445</v>
      </c>
      <c r="B72">
        <v>2.085</v>
      </c>
      <c r="C72" s="2">
        <f t="shared" si="37"/>
        <v>0.81125000000000003</v>
      </c>
      <c r="D72">
        <f t="shared" si="38"/>
        <v>0.29694000000000004</v>
      </c>
      <c r="E72">
        <f t="shared" si="39"/>
        <v>817334375</v>
      </c>
      <c r="F72">
        <f t="shared" si="40"/>
        <v>432344640.00000006</v>
      </c>
      <c r="G72">
        <f t="shared" si="41"/>
        <v>86.73490000000001</v>
      </c>
      <c r="H72">
        <f t="shared" si="42"/>
        <v>31.701247999999996</v>
      </c>
      <c r="I72">
        <f t="shared" si="43"/>
        <v>59.218074000000001</v>
      </c>
      <c r="J72">
        <f t="shared" si="44"/>
        <v>87385411750</v>
      </c>
      <c r="K72">
        <f t="shared" si="45"/>
        <v>46157017088</v>
      </c>
      <c r="L72">
        <f t="shared" si="46"/>
        <v>66771214419</v>
      </c>
    </row>
    <row r="73" spans="1:12" x14ac:dyDescent="0.35">
      <c r="A73" s="1">
        <v>37158.145833333336</v>
      </c>
      <c r="B73">
        <v>3.198</v>
      </c>
      <c r="C73" s="2">
        <f t="shared" si="37"/>
        <v>1.3121</v>
      </c>
      <c r="D73">
        <f t="shared" si="38"/>
        <v>0.47947200000000006</v>
      </c>
      <c r="E73">
        <f t="shared" si="39"/>
        <v>1321940750</v>
      </c>
      <c r="F73">
        <f t="shared" si="40"/>
        <v>698111232.00000012</v>
      </c>
      <c r="G73">
        <f t="shared" si="41"/>
        <v>88.047000000000011</v>
      </c>
      <c r="H73">
        <f t="shared" si="42"/>
        <v>32.180719999999994</v>
      </c>
      <c r="I73">
        <f t="shared" si="43"/>
        <v>60.113860000000003</v>
      </c>
      <c r="J73">
        <f t="shared" si="44"/>
        <v>88707352500</v>
      </c>
      <c r="K73">
        <f t="shared" si="45"/>
        <v>46855128320</v>
      </c>
      <c r="L73">
        <f t="shared" si="46"/>
        <v>67781240410</v>
      </c>
    </row>
    <row r="74" spans="1:12" x14ac:dyDescent="0.35">
      <c r="A74" s="1">
        <v>37158.65625</v>
      </c>
      <c r="B74">
        <v>3.5440000000000005</v>
      </c>
      <c r="C74" s="2">
        <f t="shared" si="37"/>
        <v>1.4678000000000002</v>
      </c>
      <c r="D74">
        <f t="shared" si="38"/>
        <v>0.53621600000000003</v>
      </c>
      <c r="E74">
        <f t="shared" si="39"/>
        <v>1478808500.0000002</v>
      </c>
      <c r="F74">
        <f t="shared" si="40"/>
        <v>780730496.00000012</v>
      </c>
      <c r="G74">
        <f t="shared" si="41"/>
        <v>89.514800000000008</v>
      </c>
      <c r="H74">
        <f t="shared" si="42"/>
        <v>32.716935999999997</v>
      </c>
      <c r="I74">
        <f t="shared" si="43"/>
        <v>61.115868000000006</v>
      </c>
      <c r="J74">
        <f t="shared" si="44"/>
        <v>90186161000</v>
      </c>
      <c r="K74">
        <f t="shared" si="45"/>
        <v>47635858816</v>
      </c>
      <c r="L74">
        <f t="shared" si="46"/>
        <v>68911009908</v>
      </c>
    </row>
    <row r="75" spans="1:12" x14ac:dyDescent="0.35">
      <c r="A75" s="1">
        <v>37173.625</v>
      </c>
      <c r="B75">
        <v>0.96499999999999997</v>
      </c>
      <c r="C75" s="2">
        <f t="shared" si="37"/>
        <v>0.30724999999999997</v>
      </c>
      <c r="D75">
        <f t="shared" si="38"/>
        <v>0.11326000000000001</v>
      </c>
      <c r="E75">
        <f t="shared" si="39"/>
        <v>309554374.99999994</v>
      </c>
      <c r="F75">
        <f t="shared" si="40"/>
        <v>164906560.00000003</v>
      </c>
      <c r="G75">
        <f t="shared" si="41"/>
        <v>89.822050000000004</v>
      </c>
      <c r="H75">
        <f t="shared" si="42"/>
        <v>32.830195999999994</v>
      </c>
      <c r="I75">
        <f t="shared" si="43"/>
        <v>61.326122999999995</v>
      </c>
      <c r="J75">
        <f t="shared" si="44"/>
        <v>90495715375</v>
      </c>
      <c r="K75">
        <f t="shared" si="45"/>
        <v>47800765376</v>
      </c>
      <c r="L75">
        <f t="shared" si="46"/>
        <v>69148240375.5</v>
      </c>
    </row>
    <row r="76" spans="1:12" x14ac:dyDescent="0.35">
      <c r="A76" s="1">
        <v>37174.142361111109</v>
      </c>
      <c r="B76">
        <v>2.593</v>
      </c>
      <c r="C76" s="2">
        <f t="shared" si="37"/>
        <v>1.0398499999999999</v>
      </c>
      <c r="D76">
        <f t="shared" si="38"/>
        <v>0.38025200000000003</v>
      </c>
      <c r="E76">
        <f t="shared" si="39"/>
        <v>1047648874.9999999</v>
      </c>
      <c r="F76">
        <f t="shared" si="40"/>
        <v>553646912</v>
      </c>
      <c r="G76">
        <f t="shared" si="41"/>
        <v>90.861900000000006</v>
      </c>
      <c r="H76">
        <f t="shared" si="42"/>
        <v>33.210447999999992</v>
      </c>
      <c r="I76">
        <f t="shared" si="43"/>
        <v>62.036174000000003</v>
      </c>
      <c r="J76">
        <f t="shared" si="44"/>
        <v>91543364250</v>
      </c>
      <c r="K76">
        <f t="shared" si="45"/>
        <v>48354412288</v>
      </c>
      <c r="L76">
        <f t="shared" si="46"/>
        <v>69948888269</v>
      </c>
    </row>
    <row r="77" spans="1:12" x14ac:dyDescent="0.35">
      <c r="A77" s="1">
        <v>37174.65625</v>
      </c>
      <c r="B77">
        <v>0.35399999999999998</v>
      </c>
      <c r="C77" s="2">
        <f t="shared" si="37"/>
        <v>3.2299999999999995E-2</v>
      </c>
      <c r="D77">
        <f t="shared" si="38"/>
        <v>1.3055999999999998E-2</v>
      </c>
      <c r="E77">
        <f t="shared" si="39"/>
        <v>32542249.999999996</v>
      </c>
      <c r="F77">
        <f t="shared" si="40"/>
        <v>19009535.999999996</v>
      </c>
      <c r="G77">
        <f t="shared" si="41"/>
        <v>90.894200000000012</v>
      </c>
      <c r="H77">
        <f t="shared" si="42"/>
        <v>33.223503999999991</v>
      </c>
      <c r="I77">
        <f t="shared" si="43"/>
        <v>62.058852000000002</v>
      </c>
      <c r="J77">
        <f t="shared" si="44"/>
        <v>91575906500</v>
      </c>
      <c r="K77">
        <f t="shared" si="45"/>
        <v>48373421824</v>
      </c>
      <c r="L77">
        <f t="shared" si="46"/>
        <v>69974664162</v>
      </c>
    </row>
    <row r="78" spans="1:12" x14ac:dyDescent="0.35">
      <c r="A78" s="1">
        <v>37176.135416666664</v>
      </c>
      <c r="B78">
        <v>7.5429999999999993</v>
      </c>
      <c r="C78" s="2">
        <f t="shared" si="37"/>
        <v>3.2673499999999995</v>
      </c>
      <c r="D78">
        <f t="shared" si="38"/>
        <v>1.1920520000000001</v>
      </c>
      <c r="E78">
        <f t="shared" si="39"/>
        <v>3291855124.9999995</v>
      </c>
      <c r="F78">
        <f t="shared" si="40"/>
        <v>1735627712.0000002</v>
      </c>
      <c r="G78">
        <f t="shared" si="41"/>
        <v>94.161550000000005</v>
      </c>
      <c r="H78">
        <f t="shared" si="42"/>
        <v>34.415555999999988</v>
      </c>
      <c r="I78">
        <f t="shared" si="43"/>
        <v>64.288552999999993</v>
      </c>
      <c r="J78">
        <f t="shared" si="44"/>
        <v>94867761625</v>
      </c>
      <c r="K78">
        <f t="shared" si="45"/>
        <v>50109049536</v>
      </c>
      <c r="L78">
        <f t="shared" si="46"/>
        <v>72488405580.5</v>
      </c>
    </row>
    <row r="79" spans="1:12" x14ac:dyDescent="0.35">
      <c r="A79" s="1">
        <v>37176.645833333336</v>
      </c>
      <c r="B79">
        <v>2.46</v>
      </c>
      <c r="C79" s="2">
        <f t="shared" si="37"/>
        <v>0.98</v>
      </c>
      <c r="D79">
        <f t="shared" si="38"/>
        <v>0.35844000000000004</v>
      </c>
      <c r="E79">
        <f t="shared" si="39"/>
        <v>987350000</v>
      </c>
      <c r="F79">
        <f t="shared" si="40"/>
        <v>521888640.00000006</v>
      </c>
      <c r="G79">
        <f t="shared" si="41"/>
        <v>95.141550000000009</v>
      </c>
      <c r="H79">
        <f t="shared" si="42"/>
        <v>34.77399599999999</v>
      </c>
      <c r="I79">
        <f t="shared" si="43"/>
        <v>64.957773000000003</v>
      </c>
      <c r="J79">
        <f t="shared" si="44"/>
        <v>95855111625</v>
      </c>
      <c r="K79">
        <f t="shared" si="45"/>
        <v>50630938176</v>
      </c>
      <c r="L79">
        <f t="shared" si="46"/>
        <v>73243024900.5</v>
      </c>
    </row>
    <row r="80" spans="1:12" x14ac:dyDescent="0.35">
      <c r="A80" s="1">
        <v>37180.631944444445</v>
      </c>
      <c r="B80">
        <v>2.4169999999999998</v>
      </c>
      <c r="C80" s="2">
        <f t="shared" si="37"/>
        <v>0.96065</v>
      </c>
      <c r="D80">
        <f t="shared" si="38"/>
        <v>0.35138799999999998</v>
      </c>
      <c r="E80">
        <f t="shared" si="39"/>
        <v>967854875</v>
      </c>
      <c r="F80">
        <f t="shared" si="40"/>
        <v>511620928</v>
      </c>
      <c r="G80">
        <f t="shared" si="41"/>
        <v>96.102200000000011</v>
      </c>
      <c r="H80">
        <f t="shared" si="42"/>
        <v>35.12538399999999</v>
      </c>
      <c r="I80">
        <f t="shared" si="43"/>
        <v>65.613792000000004</v>
      </c>
      <c r="J80">
        <f t="shared" si="44"/>
        <v>96822966500</v>
      </c>
      <c r="K80">
        <f t="shared" si="45"/>
        <v>51142559104</v>
      </c>
      <c r="L80">
        <f t="shared" si="46"/>
        <v>73982762802</v>
      </c>
    </row>
    <row r="81" spans="1:12" x14ac:dyDescent="0.35">
      <c r="A81" s="1">
        <v>37187.635416666664</v>
      </c>
      <c r="B81">
        <v>2.9089999999999998</v>
      </c>
      <c r="C81" s="2">
        <f t="shared" si="37"/>
        <v>1.18205</v>
      </c>
      <c r="D81">
        <f t="shared" si="38"/>
        <v>0.43207600000000002</v>
      </c>
      <c r="E81">
        <f t="shared" si="39"/>
        <v>1190915375</v>
      </c>
      <c r="F81">
        <f t="shared" si="40"/>
        <v>629102656</v>
      </c>
      <c r="G81">
        <f t="shared" si="41"/>
        <v>97.284250000000014</v>
      </c>
      <c r="H81">
        <f t="shared" si="42"/>
        <v>35.557459999999992</v>
      </c>
      <c r="I81">
        <f t="shared" si="43"/>
        <v>66.420855000000003</v>
      </c>
      <c r="J81">
        <f t="shared" si="44"/>
        <v>98013881875</v>
      </c>
      <c r="K81">
        <f t="shared" si="45"/>
        <v>51771661760</v>
      </c>
      <c r="L81">
        <f t="shared" si="46"/>
        <v>74892771817.5</v>
      </c>
    </row>
    <row r="82" spans="1:12" x14ac:dyDescent="0.35">
      <c r="A82" s="1">
        <v>37192.645833333336</v>
      </c>
      <c r="B82">
        <v>2.1789999999999998</v>
      </c>
      <c r="C82" s="2">
        <f t="shared" si="37"/>
        <v>0.85354999999999992</v>
      </c>
      <c r="D82">
        <f t="shared" si="38"/>
        <v>0.31235600000000002</v>
      </c>
      <c r="E82">
        <f t="shared" si="39"/>
        <v>859951625</v>
      </c>
      <c r="F82">
        <f t="shared" si="40"/>
        <v>454790336.00000006</v>
      </c>
      <c r="G82">
        <f t="shared" si="41"/>
        <v>98.137800000000013</v>
      </c>
      <c r="H82">
        <f t="shared" si="42"/>
        <v>35.869815999999993</v>
      </c>
      <c r="I82">
        <f t="shared" si="43"/>
        <v>67.003808000000006</v>
      </c>
      <c r="J82">
        <f t="shared" si="44"/>
        <v>98873833500</v>
      </c>
      <c r="K82">
        <f t="shared" si="45"/>
        <v>52226452096</v>
      </c>
      <c r="L82">
        <f t="shared" si="46"/>
        <v>75550142798</v>
      </c>
    </row>
    <row r="83" spans="1:12" x14ac:dyDescent="0.35">
      <c r="A83" s="1">
        <v>37204.663194444445</v>
      </c>
      <c r="B83">
        <v>1.5209999999999999</v>
      </c>
      <c r="C83" s="2">
        <f t="shared" si="37"/>
        <v>0.55745</v>
      </c>
      <c r="D83">
        <f t="shared" si="38"/>
        <v>0.20444400000000001</v>
      </c>
      <c r="E83">
        <f t="shared" si="39"/>
        <v>561630875</v>
      </c>
      <c r="F83">
        <f t="shared" si="40"/>
        <v>297670464</v>
      </c>
      <c r="G83">
        <f t="shared" si="41"/>
        <v>98.695250000000016</v>
      </c>
      <c r="H83">
        <f t="shared" si="42"/>
        <v>36.074259999999995</v>
      </c>
      <c r="I83">
        <f t="shared" si="43"/>
        <v>67.384755000000013</v>
      </c>
      <c r="J83">
        <f t="shared" si="44"/>
        <v>99435464375</v>
      </c>
      <c r="K83">
        <f t="shared" si="45"/>
        <v>52524122560</v>
      </c>
      <c r="L83">
        <f t="shared" si="46"/>
        <v>75979793467.5</v>
      </c>
    </row>
    <row r="84" spans="1:12" x14ac:dyDescent="0.35">
      <c r="A84" s="1">
        <v>37206.65625</v>
      </c>
      <c r="B84">
        <v>4.4289999999999994</v>
      </c>
      <c r="C84" s="2">
        <f t="shared" si="37"/>
        <v>1.8660499999999998</v>
      </c>
      <c r="D84">
        <f t="shared" si="38"/>
        <v>0.68135599999999985</v>
      </c>
      <c r="E84">
        <f t="shared" si="39"/>
        <v>1880045374.9999998</v>
      </c>
      <c r="F84">
        <f t="shared" si="40"/>
        <v>992054335.99999988</v>
      </c>
      <c r="G84">
        <f t="shared" si="41"/>
        <v>100.56130000000002</v>
      </c>
      <c r="H84">
        <f t="shared" si="42"/>
        <v>36.755615999999996</v>
      </c>
      <c r="I84">
        <f t="shared" si="43"/>
        <v>68.65845800000001</v>
      </c>
      <c r="J84">
        <f t="shared" si="44"/>
        <v>101315509750</v>
      </c>
      <c r="K84">
        <f t="shared" si="45"/>
        <v>53516176896</v>
      </c>
      <c r="L84">
        <f t="shared" si="46"/>
        <v>77415843323</v>
      </c>
    </row>
    <row r="85" spans="1:12" x14ac:dyDescent="0.35">
      <c r="A85" s="1">
        <v>37208.645833333336</v>
      </c>
      <c r="B85">
        <v>0.82299999999999995</v>
      </c>
      <c r="C85" s="2">
        <f t="shared" si="37"/>
        <v>0.24335000000000001</v>
      </c>
      <c r="D85">
        <f t="shared" si="38"/>
        <v>8.997200000000001E-2</v>
      </c>
      <c r="E85">
        <f t="shared" si="39"/>
        <v>245175125</v>
      </c>
      <c r="F85">
        <f t="shared" si="40"/>
        <v>130999232.00000001</v>
      </c>
      <c r="G85">
        <f t="shared" si="41"/>
        <v>100.80465000000002</v>
      </c>
      <c r="H85">
        <f t="shared" si="42"/>
        <v>36.845587999999999</v>
      </c>
      <c r="I85">
        <f t="shared" si="43"/>
        <v>68.825119000000015</v>
      </c>
      <c r="J85">
        <f t="shared" si="44"/>
        <v>101560684875</v>
      </c>
      <c r="K85">
        <f t="shared" si="45"/>
        <v>53647176128</v>
      </c>
      <c r="L85">
        <f t="shared" si="46"/>
        <v>77603930501.5</v>
      </c>
    </row>
    <row r="86" spans="1:12" x14ac:dyDescent="0.35">
      <c r="A86" s="1">
        <v>37219.635416666664</v>
      </c>
      <c r="B86">
        <v>0.38600000000000001</v>
      </c>
      <c r="C86" s="2">
        <f t="shared" si="37"/>
        <v>4.6700000000000019E-2</v>
      </c>
      <c r="D86">
        <f t="shared" si="38"/>
        <v>1.8304000000000001E-2</v>
      </c>
      <c r="E86">
        <f t="shared" si="39"/>
        <v>47050250.000000015</v>
      </c>
      <c r="F86">
        <f t="shared" si="40"/>
        <v>26650624</v>
      </c>
      <c r="G86">
        <f t="shared" si="41"/>
        <v>100.85135000000002</v>
      </c>
      <c r="H86">
        <f t="shared" si="42"/>
        <v>36.863892</v>
      </c>
      <c r="I86">
        <f t="shared" si="43"/>
        <v>68.857621000000009</v>
      </c>
      <c r="J86">
        <f t="shared" si="44"/>
        <v>101607735125</v>
      </c>
      <c r="K86">
        <f t="shared" si="45"/>
        <v>53673826752</v>
      </c>
      <c r="L86">
        <f t="shared" si="46"/>
        <v>77640780938.5</v>
      </c>
    </row>
    <row r="87" spans="1:12" x14ac:dyDescent="0.35">
      <c r="A87" s="1">
        <v>37222.65625</v>
      </c>
      <c r="B87">
        <v>1.57</v>
      </c>
      <c r="C87" s="2">
        <f t="shared" si="37"/>
        <v>0.57950000000000002</v>
      </c>
      <c r="D87">
        <f t="shared" si="38"/>
        <v>0.21248000000000006</v>
      </c>
      <c r="E87">
        <f t="shared" si="39"/>
        <v>583846250</v>
      </c>
      <c r="F87">
        <f t="shared" si="40"/>
        <v>309370880.00000012</v>
      </c>
      <c r="G87">
        <f t="shared" si="41"/>
        <v>101.43085000000002</v>
      </c>
      <c r="H87">
        <f t="shared" si="42"/>
        <v>37.076371999999999</v>
      </c>
      <c r="I87">
        <f t="shared" si="43"/>
        <v>69.253611000000006</v>
      </c>
      <c r="J87">
        <f t="shared" si="44"/>
        <v>102191581375</v>
      </c>
      <c r="K87">
        <f t="shared" si="45"/>
        <v>53983197632</v>
      </c>
      <c r="L87">
        <f t="shared" si="46"/>
        <v>78087389503.5</v>
      </c>
    </row>
    <row r="88" spans="1:12" x14ac:dyDescent="0.35">
      <c r="A88" s="1">
        <v>37224.645833333336</v>
      </c>
      <c r="B88">
        <v>1.498</v>
      </c>
      <c r="C88" s="2">
        <f t="shared" si="37"/>
        <v>0.54710000000000003</v>
      </c>
      <c r="D88">
        <f t="shared" si="38"/>
        <v>0.20067200000000002</v>
      </c>
      <c r="E88">
        <f t="shared" si="39"/>
        <v>551203250</v>
      </c>
      <c r="F88">
        <f t="shared" si="40"/>
        <v>292178432</v>
      </c>
      <c r="G88">
        <f t="shared" si="41"/>
        <v>101.97795000000002</v>
      </c>
      <c r="H88">
        <f t="shared" si="42"/>
        <v>37.277043999999997</v>
      </c>
      <c r="I88">
        <f t="shared" si="43"/>
        <v>69.627497000000005</v>
      </c>
      <c r="J88">
        <f t="shared" si="44"/>
        <v>102742784625</v>
      </c>
      <c r="K88">
        <f t="shared" si="45"/>
        <v>54275376064</v>
      </c>
      <c r="L88">
        <f t="shared" si="46"/>
        <v>78509080344.5</v>
      </c>
    </row>
    <row r="89" spans="1:12" x14ac:dyDescent="0.35">
      <c r="A89" s="1">
        <v>37233.642361111109</v>
      </c>
      <c r="B89">
        <v>3.3820000000000001</v>
      </c>
      <c r="C89" s="2">
        <f t="shared" si="37"/>
        <v>1.3949</v>
      </c>
      <c r="D89">
        <f t="shared" si="38"/>
        <v>0.50964799999999999</v>
      </c>
      <c r="E89">
        <f t="shared" si="39"/>
        <v>1405361750</v>
      </c>
      <c r="F89">
        <f t="shared" si="40"/>
        <v>742047488</v>
      </c>
      <c r="G89">
        <f t="shared" si="41"/>
        <v>103.37285000000003</v>
      </c>
      <c r="H89">
        <f t="shared" si="42"/>
        <v>37.786691999999995</v>
      </c>
      <c r="I89">
        <f t="shared" si="43"/>
        <v>70.579771000000008</v>
      </c>
      <c r="J89">
        <f t="shared" si="44"/>
        <v>104148146375</v>
      </c>
      <c r="K89">
        <f t="shared" si="45"/>
        <v>55017423552</v>
      </c>
      <c r="L89">
        <f t="shared" si="46"/>
        <v>79582784963.5</v>
      </c>
    </row>
    <row r="90" spans="1:12" x14ac:dyDescent="0.35">
      <c r="A90" s="1">
        <v>37240.645833333336</v>
      </c>
      <c r="B90">
        <v>3.673</v>
      </c>
      <c r="C90" s="2">
        <f t="shared" si="37"/>
        <v>1.5258500000000002</v>
      </c>
      <c r="D90">
        <f t="shared" si="38"/>
        <v>0.55737199999999998</v>
      </c>
      <c r="E90">
        <f t="shared" si="39"/>
        <v>1537293875.0000002</v>
      </c>
      <c r="F90">
        <f t="shared" si="40"/>
        <v>811533631.99999988</v>
      </c>
      <c r="G90">
        <f t="shared" si="41"/>
        <v>104.89870000000003</v>
      </c>
      <c r="H90">
        <f t="shared" si="42"/>
        <v>38.344063999999996</v>
      </c>
      <c r="I90">
        <f t="shared" si="43"/>
        <v>71.621382000000011</v>
      </c>
      <c r="J90">
        <f t="shared" si="44"/>
        <v>105685440250</v>
      </c>
      <c r="K90">
        <f t="shared" si="45"/>
        <v>55828957184</v>
      </c>
      <c r="L90">
        <f t="shared" si="46"/>
        <v>80757198717</v>
      </c>
    </row>
    <row r="91" spans="1:12" x14ac:dyDescent="0.35">
      <c r="A91" s="1">
        <v>37242.638888888891</v>
      </c>
      <c r="B91">
        <v>0.72299999999999998</v>
      </c>
      <c r="C91" s="2">
        <f t="shared" si="37"/>
        <v>0.19834999999999997</v>
      </c>
      <c r="D91">
        <f t="shared" si="38"/>
        <v>7.3571999999999999E-2</v>
      </c>
      <c r="E91">
        <f t="shared" si="39"/>
        <v>199837624.99999997</v>
      </c>
      <c r="F91">
        <f t="shared" si="40"/>
        <v>107120831.99999999</v>
      </c>
      <c r="G91">
        <f t="shared" si="41"/>
        <v>105.09705000000004</v>
      </c>
      <c r="H91">
        <f t="shared" si="42"/>
        <v>38.417635999999995</v>
      </c>
      <c r="I91">
        <f t="shared" si="43"/>
        <v>71.75734300000002</v>
      </c>
      <c r="J91">
        <f t="shared" si="44"/>
        <v>105885277875</v>
      </c>
      <c r="K91">
        <f t="shared" si="45"/>
        <v>55936078016</v>
      </c>
      <c r="L91">
        <f t="shared" si="46"/>
        <v>80910677945.5</v>
      </c>
    </row>
    <row r="92" spans="1:12" x14ac:dyDescent="0.35">
      <c r="A92" s="1">
        <v>37247.649305555555</v>
      </c>
      <c r="B92">
        <v>3.181</v>
      </c>
      <c r="C92" s="2">
        <f t="shared" si="37"/>
        <v>1.3044500000000001</v>
      </c>
      <c r="D92">
        <f t="shared" si="38"/>
        <v>0.47668400000000005</v>
      </c>
      <c r="E92">
        <f t="shared" si="39"/>
        <v>1314233375</v>
      </c>
      <c r="F92">
        <f t="shared" si="40"/>
        <v>694051904</v>
      </c>
      <c r="G92">
        <f t="shared" si="41"/>
        <v>106.40150000000004</v>
      </c>
      <c r="H92">
        <f t="shared" si="42"/>
        <v>38.894319999999993</v>
      </c>
      <c r="I92">
        <f t="shared" si="43"/>
        <v>72.647910000000024</v>
      </c>
      <c r="J92">
        <f t="shared" si="44"/>
        <v>107199511250</v>
      </c>
      <c r="K92">
        <f t="shared" si="45"/>
        <v>56630129920</v>
      </c>
      <c r="L92">
        <f t="shared" si="46"/>
        <v>81914820585</v>
      </c>
    </row>
    <row r="93" spans="1:12" x14ac:dyDescent="0.35">
      <c r="A93" s="1">
        <v>37253.625</v>
      </c>
      <c r="B93">
        <v>0.54300000000000004</v>
      </c>
      <c r="C93" s="2">
        <f t="shared" si="37"/>
        <v>0.11735000000000001</v>
      </c>
      <c r="D93">
        <f t="shared" si="38"/>
        <v>4.4052000000000008E-2</v>
      </c>
      <c r="E93">
        <f t="shared" si="39"/>
        <v>118230125</v>
      </c>
      <c r="F93">
        <f t="shared" si="40"/>
        <v>64139712.000000007</v>
      </c>
      <c r="G93">
        <f t="shared" si="41"/>
        <v>106.51885000000004</v>
      </c>
      <c r="H93">
        <f t="shared" si="42"/>
        <v>38.938371999999994</v>
      </c>
      <c r="I93">
        <f t="shared" si="43"/>
        <v>72.728611000000015</v>
      </c>
      <c r="J93">
        <f t="shared" si="44"/>
        <v>107317741375</v>
      </c>
      <c r="K93">
        <f t="shared" si="45"/>
        <v>56694269632</v>
      </c>
      <c r="L93">
        <f t="shared" si="46"/>
        <v>82006005503.5</v>
      </c>
    </row>
    <row r="94" spans="1:12" x14ac:dyDescent="0.35">
      <c r="A94" s="1">
        <v>37258.635416666664</v>
      </c>
      <c r="B94">
        <v>1.0089999999999999</v>
      </c>
      <c r="C94" s="2">
        <f t="shared" si="37"/>
        <v>0.32704999999999995</v>
      </c>
      <c r="D94">
        <f t="shared" si="38"/>
        <v>0.12047599999999999</v>
      </c>
      <c r="E94">
        <f t="shared" si="39"/>
        <v>329502875</v>
      </c>
      <c r="F94">
        <f t="shared" si="40"/>
        <v>175413056</v>
      </c>
      <c r="G94">
        <f t="shared" si="41"/>
        <v>106.84590000000004</v>
      </c>
      <c r="H94">
        <f t="shared" si="42"/>
        <v>39.05884799999999</v>
      </c>
      <c r="I94">
        <f t="shared" si="43"/>
        <v>72.95237400000002</v>
      </c>
      <c r="J94">
        <f t="shared" si="44"/>
        <v>107647244250</v>
      </c>
      <c r="K94">
        <f t="shared" si="45"/>
        <v>56869682688</v>
      </c>
      <c r="L94">
        <f t="shared" si="46"/>
        <v>82258463469</v>
      </c>
    </row>
    <row r="95" spans="1:12" x14ac:dyDescent="0.35">
      <c r="A95" s="1">
        <v>37270.652777777781</v>
      </c>
      <c r="B95">
        <v>1.524</v>
      </c>
      <c r="C95" s="2">
        <f t="shared" si="37"/>
        <v>0.55880000000000007</v>
      </c>
      <c r="D95">
        <f t="shared" si="38"/>
        <v>0.20493600000000001</v>
      </c>
      <c r="E95">
        <f t="shared" si="39"/>
        <v>562991000</v>
      </c>
      <c r="F95">
        <f t="shared" si="40"/>
        <v>298386816</v>
      </c>
      <c r="G95">
        <f t="shared" si="41"/>
        <v>107.40470000000005</v>
      </c>
      <c r="H95">
        <f t="shared" si="42"/>
        <v>39.263783999999987</v>
      </c>
      <c r="I95">
        <f t="shared" si="43"/>
        <v>73.334242000000017</v>
      </c>
      <c r="J95">
        <f t="shared" si="44"/>
        <v>108210235250</v>
      </c>
      <c r="K95">
        <f t="shared" si="45"/>
        <v>57168069504</v>
      </c>
      <c r="L95">
        <f t="shared" si="46"/>
        <v>82689152377</v>
      </c>
    </row>
    <row r="96" spans="1:12" x14ac:dyDescent="0.35">
      <c r="A96" s="1">
        <v>37345.638888888891</v>
      </c>
      <c r="B96">
        <v>1.5839999999999999</v>
      </c>
      <c r="C96" s="2">
        <f t="shared" si="37"/>
        <v>0.58579999999999999</v>
      </c>
      <c r="D96">
        <f t="shared" si="38"/>
        <v>0.21477600000000002</v>
      </c>
      <c r="E96">
        <f t="shared" si="39"/>
        <v>590193500</v>
      </c>
      <c r="F96">
        <f t="shared" si="40"/>
        <v>312713856.00000006</v>
      </c>
      <c r="G96">
        <f t="shared" si="41"/>
        <v>107.99050000000005</v>
      </c>
      <c r="H96">
        <f t="shared" si="42"/>
        <v>39.478559999999987</v>
      </c>
      <c r="I96">
        <f t="shared" si="43"/>
        <v>73.734530000000021</v>
      </c>
      <c r="J96">
        <f t="shared" si="44"/>
        <v>108800428750</v>
      </c>
      <c r="K96">
        <f t="shared" si="45"/>
        <v>57480783360</v>
      </c>
      <c r="L96">
        <f t="shared" si="46"/>
        <v>83140606055</v>
      </c>
    </row>
    <row r="97" spans="1:20" x14ac:dyDescent="0.35">
      <c r="A97" s="1">
        <v>37359.649305555555</v>
      </c>
      <c r="B97">
        <v>5.7389999999999999</v>
      </c>
      <c r="C97" s="2">
        <f t="shared" si="37"/>
        <v>2.4555499999999997</v>
      </c>
      <c r="D97">
        <f t="shared" si="38"/>
        <v>0.89619599999999999</v>
      </c>
      <c r="E97">
        <f t="shared" si="39"/>
        <v>2473966624.9999995</v>
      </c>
      <c r="F97">
        <f t="shared" si="40"/>
        <v>1304861375.9999998</v>
      </c>
      <c r="G97">
        <f t="shared" si="41"/>
        <v>110.44605000000006</v>
      </c>
      <c r="H97">
        <f t="shared" si="42"/>
        <v>40.374755999999991</v>
      </c>
      <c r="I97">
        <f t="shared" si="43"/>
        <v>75.410403000000031</v>
      </c>
      <c r="J97">
        <f t="shared" si="44"/>
        <v>111274395375</v>
      </c>
      <c r="K97">
        <f t="shared" si="45"/>
        <v>58785644736</v>
      </c>
      <c r="L97">
        <f t="shared" si="46"/>
        <v>85030020055.5</v>
      </c>
    </row>
    <row r="98" spans="1:20" x14ac:dyDescent="0.35">
      <c r="A98" s="1">
        <v>37370.635416666664</v>
      </c>
      <c r="B98">
        <v>0.92100000000000004</v>
      </c>
      <c r="C98" s="2">
        <f t="shared" si="37"/>
        <v>0.28745000000000004</v>
      </c>
      <c r="D98">
        <f t="shared" si="38"/>
        <v>0.10604400000000001</v>
      </c>
      <c r="E98">
        <f t="shared" si="39"/>
        <v>289605875.00000006</v>
      </c>
      <c r="F98">
        <f t="shared" si="40"/>
        <v>154400064</v>
      </c>
      <c r="G98">
        <f t="shared" si="41"/>
        <v>110.73350000000006</v>
      </c>
      <c r="H98">
        <f t="shared" si="42"/>
        <v>40.480799999999988</v>
      </c>
      <c r="I98">
        <f t="shared" si="43"/>
        <v>75.607150000000019</v>
      </c>
      <c r="J98">
        <f t="shared" si="44"/>
        <v>111564001250</v>
      </c>
      <c r="K98">
        <f t="shared" si="45"/>
        <v>58940044800</v>
      </c>
      <c r="L98">
        <f t="shared" si="46"/>
        <v>85252023025</v>
      </c>
    </row>
    <row r="99" spans="1:20" x14ac:dyDescent="0.35">
      <c r="A99" s="1">
        <v>37393.638888888891</v>
      </c>
      <c r="B99">
        <v>1.5409999999999999</v>
      </c>
      <c r="C99" s="2">
        <f t="shared" si="37"/>
        <v>0.56645000000000001</v>
      </c>
      <c r="D99">
        <f t="shared" si="38"/>
        <v>0.20772400000000002</v>
      </c>
      <c r="E99">
        <f t="shared" si="39"/>
        <v>570698375</v>
      </c>
      <c r="F99">
        <f t="shared" si="40"/>
        <v>302446144</v>
      </c>
      <c r="G99">
        <f t="shared" si="41"/>
        <v>111.29995000000007</v>
      </c>
      <c r="H99">
        <f t="shared" si="42"/>
        <v>40.688523999999987</v>
      </c>
      <c r="I99">
        <f t="shared" si="43"/>
        <v>75.994237000000027</v>
      </c>
      <c r="J99">
        <f t="shared" si="44"/>
        <v>112134699625</v>
      </c>
      <c r="K99">
        <f t="shared" si="45"/>
        <v>59242490944</v>
      </c>
      <c r="L99">
        <f t="shared" si="46"/>
        <v>85688595284.5</v>
      </c>
    </row>
    <row r="100" spans="1:20" x14ac:dyDescent="0.35">
      <c r="A100" s="1">
        <v>37466.760416666664</v>
      </c>
      <c r="B100">
        <v>0.84699999999999998</v>
      </c>
      <c r="C100" s="2">
        <f t="shared" si="37"/>
        <v>0.25414999999999999</v>
      </c>
      <c r="D100">
        <f t="shared" si="38"/>
        <v>9.3908000000000005E-2</v>
      </c>
      <c r="E100">
        <f t="shared" si="39"/>
        <v>256056125</v>
      </c>
      <c r="F100">
        <f t="shared" si="40"/>
        <v>136730048</v>
      </c>
      <c r="G100">
        <f t="shared" si="41"/>
        <v>111.55410000000006</v>
      </c>
      <c r="H100">
        <f t="shared" si="42"/>
        <v>40.782431999999986</v>
      </c>
      <c r="I100">
        <f t="shared" si="43"/>
        <v>76.168266000000017</v>
      </c>
      <c r="J100">
        <f t="shared" si="44"/>
        <v>112390755750</v>
      </c>
      <c r="K100">
        <f t="shared" si="45"/>
        <v>59379220992</v>
      </c>
      <c r="L100">
        <f t="shared" si="46"/>
        <v>85884988371</v>
      </c>
    </row>
    <row r="101" spans="1:20" x14ac:dyDescent="0.35">
      <c r="A101" s="1">
        <v>37545.607638888891</v>
      </c>
      <c r="B101">
        <v>0.95599999999999996</v>
      </c>
      <c r="C101" s="2">
        <f t="shared" si="37"/>
        <v>0.30319999999999997</v>
      </c>
      <c r="D101">
        <f t="shared" si="38"/>
        <v>0.11178400000000001</v>
      </c>
      <c r="E101">
        <f t="shared" si="39"/>
        <v>305474000</v>
      </c>
      <c r="F101">
        <f t="shared" si="40"/>
        <v>162757504.00000003</v>
      </c>
      <c r="G101">
        <f t="shared" si="41"/>
        <v>111.85730000000007</v>
      </c>
      <c r="H101">
        <f t="shared" si="42"/>
        <v>40.894215999999986</v>
      </c>
      <c r="I101">
        <f t="shared" si="43"/>
        <v>76.375758000000019</v>
      </c>
      <c r="J101">
        <f t="shared" si="44"/>
        <v>112696229750</v>
      </c>
      <c r="K101">
        <f t="shared" si="45"/>
        <v>59541978496</v>
      </c>
      <c r="L101">
        <f t="shared" si="46"/>
        <v>86119104123</v>
      </c>
    </row>
    <row r="102" spans="1:20" x14ac:dyDescent="0.35">
      <c r="A102" s="1">
        <v>37548.114583333336</v>
      </c>
      <c r="B102">
        <v>3.8940000000000001</v>
      </c>
      <c r="C102" s="2">
        <f t="shared" si="37"/>
        <v>1.6253000000000002</v>
      </c>
      <c r="D102">
        <f t="shared" si="38"/>
        <v>0.59361600000000003</v>
      </c>
      <c r="E102">
        <f t="shared" si="39"/>
        <v>1637489750.0000002</v>
      </c>
      <c r="F102">
        <f t="shared" si="40"/>
        <v>864304896.00000012</v>
      </c>
      <c r="G102">
        <f t="shared" si="41"/>
        <v>113.48260000000006</v>
      </c>
      <c r="H102">
        <f t="shared" si="42"/>
        <v>41.487831999999983</v>
      </c>
      <c r="I102">
        <f t="shared" si="43"/>
        <v>77.485216000000023</v>
      </c>
      <c r="J102">
        <f t="shared" si="44"/>
        <v>114333719500</v>
      </c>
      <c r="K102">
        <f t="shared" si="45"/>
        <v>60406283392</v>
      </c>
      <c r="L102">
        <f t="shared" si="46"/>
        <v>87370001446</v>
      </c>
    </row>
    <row r="103" spans="1:20" x14ac:dyDescent="0.35">
      <c r="A103" s="1">
        <v>38851.631944444445</v>
      </c>
      <c r="B103">
        <v>3.4079999999999999</v>
      </c>
      <c r="C103" s="2">
        <f t="shared" si="37"/>
        <v>1.4066000000000001</v>
      </c>
      <c r="D103">
        <f t="shared" si="38"/>
        <v>0.51391199999999992</v>
      </c>
      <c r="E103">
        <f t="shared" si="39"/>
        <v>1417149500.0000002</v>
      </c>
      <c r="F103">
        <f t="shared" si="40"/>
        <v>748255871.99999988</v>
      </c>
      <c r="G103">
        <f t="shared" si="41"/>
        <v>114.88920000000006</v>
      </c>
      <c r="H103">
        <f t="shared" si="42"/>
        <v>42.001743999999981</v>
      </c>
      <c r="I103">
        <f t="shared" si="43"/>
        <v>78.445472000000024</v>
      </c>
      <c r="J103">
        <f t="shared" si="44"/>
        <v>115750869000</v>
      </c>
      <c r="K103">
        <f t="shared" si="45"/>
        <v>61154539264</v>
      </c>
      <c r="L103">
        <f t="shared" si="46"/>
        <v>88452704132</v>
      </c>
    </row>
    <row r="104" spans="1:20" x14ac:dyDescent="0.35">
      <c r="A104" s="1">
        <v>38851.753472222219</v>
      </c>
      <c r="B104">
        <v>3.3380000000000001</v>
      </c>
      <c r="C104" s="2">
        <f t="shared" si="37"/>
        <v>1.3751</v>
      </c>
      <c r="D104">
        <f t="shared" si="38"/>
        <v>0.50243199999999999</v>
      </c>
      <c r="E104">
        <f t="shared" si="39"/>
        <v>1385413250</v>
      </c>
      <c r="F104">
        <f t="shared" si="40"/>
        <v>731540992</v>
      </c>
      <c r="G104">
        <f t="shared" si="41"/>
        <v>116.26430000000006</v>
      </c>
      <c r="H104">
        <f t="shared" si="42"/>
        <v>42.50417599999998</v>
      </c>
      <c r="I104">
        <f t="shared" si="43"/>
        <v>79.384238000000025</v>
      </c>
      <c r="J104">
        <f t="shared" si="44"/>
        <v>117136282250</v>
      </c>
      <c r="K104">
        <f t="shared" si="45"/>
        <v>61886080256</v>
      </c>
      <c r="L104">
        <f t="shared" si="46"/>
        <v>89511181253</v>
      </c>
    </row>
    <row r="105" spans="1:20" x14ac:dyDescent="0.35">
      <c r="A105" s="1">
        <v>38853.746527777781</v>
      </c>
      <c r="B105">
        <v>3.0089999999999999</v>
      </c>
      <c r="C105" s="2">
        <f t="shared" si="37"/>
        <v>1.22705</v>
      </c>
      <c r="D105">
        <f t="shared" si="38"/>
        <v>0.44847600000000004</v>
      </c>
      <c r="E105">
        <f t="shared" si="39"/>
        <v>1236252875</v>
      </c>
      <c r="F105">
        <f t="shared" si="40"/>
        <v>652981056.00000012</v>
      </c>
      <c r="G105">
        <f t="shared" si="41"/>
        <v>117.49135000000007</v>
      </c>
      <c r="H105">
        <f t="shared" si="42"/>
        <v>42.952651999999979</v>
      </c>
      <c r="I105">
        <f t="shared" si="43"/>
        <v>80.22200100000002</v>
      </c>
      <c r="J105">
        <f t="shared" si="44"/>
        <v>118372535125</v>
      </c>
      <c r="K105">
        <f t="shared" si="45"/>
        <v>62539061312</v>
      </c>
      <c r="L105">
        <f t="shared" si="46"/>
        <v>90455798218.5</v>
      </c>
      <c r="N105" t="s">
        <v>39</v>
      </c>
      <c r="O105" t="s">
        <v>33</v>
      </c>
      <c r="P105" t="s">
        <v>34</v>
      </c>
      <c r="Q105" t="s">
        <v>35</v>
      </c>
      <c r="R105" t="s">
        <v>36</v>
      </c>
      <c r="S105" t="s">
        <v>37</v>
      </c>
      <c r="T105" t="s">
        <v>38</v>
      </c>
    </row>
    <row r="106" spans="1:20" x14ac:dyDescent="0.35">
      <c r="A106" s="1">
        <v>38854.774305555555</v>
      </c>
      <c r="B106">
        <v>0.60499999999999998</v>
      </c>
      <c r="C106" s="2">
        <f t="shared" si="37"/>
        <v>0.14524999999999999</v>
      </c>
      <c r="D106">
        <f t="shared" si="38"/>
        <v>5.4220000000000004E-2</v>
      </c>
      <c r="E106">
        <f t="shared" si="39"/>
        <v>146339375</v>
      </c>
      <c r="F106">
        <f t="shared" si="40"/>
        <v>78944320</v>
      </c>
      <c r="G106">
        <f t="shared" si="41"/>
        <v>117.63660000000007</v>
      </c>
      <c r="H106">
        <f t="shared" si="42"/>
        <v>43.00687199999998</v>
      </c>
      <c r="I106">
        <f t="shared" si="43"/>
        <v>80.32173600000003</v>
      </c>
      <c r="J106">
        <f t="shared" si="44"/>
        <v>118518874500</v>
      </c>
      <c r="K106">
        <f t="shared" si="45"/>
        <v>62618005632</v>
      </c>
      <c r="L106">
        <f t="shared" si="46"/>
        <v>90568440066</v>
      </c>
      <c r="M106" s="1">
        <v>38854.774305555555</v>
      </c>
      <c r="N106">
        <v>0</v>
      </c>
      <c r="O106">
        <f>N106*C106</f>
        <v>0</v>
      </c>
      <c r="P106">
        <f t="shared" ref="P106:T106" si="47">O106*D106</f>
        <v>0</v>
      </c>
      <c r="Q106">
        <f t="shared" si="47"/>
        <v>0</v>
      </c>
      <c r="R106">
        <f t="shared" si="47"/>
        <v>0</v>
      </c>
      <c r="S106">
        <f t="shared" si="47"/>
        <v>0</v>
      </c>
      <c r="T106">
        <f t="shared" si="47"/>
        <v>0</v>
      </c>
    </row>
    <row r="107" spans="1:20" x14ac:dyDescent="0.35">
      <c r="A107" s="1">
        <v>38858.121527777781</v>
      </c>
      <c r="B107">
        <v>2.9740000000000002</v>
      </c>
      <c r="C107" s="2">
        <f t="shared" si="37"/>
        <v>1.2113</v>
      </c>
      <c r="D107">
        <f t="shared" si="38"/>
        <v>0.44273600000000007</v>
      </c>
      <c r="E107">
        <f t="shared" si="39"/>
        <v>1220384750</v>
      </c>
      <c r="F107">
        <f t="shared" si="40"/>
        <v>644623616.00000012</v>
      </c>
      <c r="G107">
        <f t="shared" si="41"/>
        <v>118.84790000000007</v>
      </c>
      <c r="H107">
        <f t="shared" si="42"/>
        <v>43.449607999999984</v>
      </c>
      <c r="I107">
        <f t="shared" si="43"/>
        <v>81.148754000000025</v>
      </c>
      <c r="J107">
        <f t="shared" si="44"/>
        <v>119739259250</v>
      </c>
      <c r="K107">
        <f t="shared" si="45"/>
        <v>63262629248</v>
      </c>
      <c r="L107">
        <f t="shared" si="46"/>
        <v>91500944249</v>
      </c>
      <c r="M107" s="1">
        <v>38858.121527777781</v>
      </c>
      <c r="N107">
        <f>(A107-A106)*24*60*60</f>
        <v>289200.00000034925</v>
      </c>
      <c r="O107">
        <f>(N107*C107)+O106</f>
        <v>350307.96000042307</v>
      </c>
      <c r="P107">
        <f>(N107*D107)+P106</f>
        <v>128039.25120015464</v>
      </c>
      <c r="Q107">
        <f>(O107+P107)/2</f>
        <v>239173.60560028887</v>
      </c>
      <c r="R107">
        <f>(N107*F107)+R106</f>
        <v>186425149747425.16</v>
      </c>
      <c r="S107">
        <f>(N107*G107)+S106</f>
        <v>34370812.680041529</v>
      </c>
      <c r="T107">
        <f>(R107+S107)/2</f>
        <v>93212592059118.922</v>
      </c>
    </row>
    <row r="108" spans="1:20" x14ac:dyDescent="0.35">
      <c r="A108" s="1">
        <v>38860.75</v>
      </c>
      <c r="B108">
        <v>4.234</v>
      </c>
      <c r="C108" s="2">
        <f t="shared" si="37"/>
        <v>1.7783</v>
      </c>
      <c r="D108">
        <f t="shared" si="38"/>
        <v>0.64937599999999995</v>
      </c>
      <c r="E108">
        <f t="shared" si="39"/>
        <v>1791637250</v>
      </c>
      <c r="F108">
        <f t="shared" si="40"/>
        <v>945491455.99999988</v>
      </c>
      <c r="G108">
        <f t="shared" si="41"/>
        <v>120.62620000000007</v>
      </c>
      <c r="H108">
        <f t="shared" si="42"/>
        <v>44.09898399999998</v>
      </c>
      <c r="I108">
        <f t="shared" si="43"/>
        <v>82.362592000000021</v>
      </c>
      <c r="J108">
        <f t="shared" si="44"/>
        <v>121530896500</v>
      </c>
      <c r="K108">
        <f t="shared" si="45"/>
        <v>64208120704</v>
      </c>
      <c r="L108">
        <f t="shared" si="46"/>
        <v>92869508602</v>
      </c>
      <c r="M108" s="1">
        <v>38860.75</v>
      </c>
      <c r="N108">
        <f t="shared" ref="N108:N144" si="48">(A108-A107)*24*60*60</f>
        <v>227099.9999997206</v>
      </c>
      <c r="O108">
        <f t="shared" ref="O108:O144" si="49">(N108*C108)+O107</f>
        <v>754159.88999992621</v>
      </c>
      <c r="P108">
        <f t="shared" ref="P108:P144" si="50">(N108*D108)+P107</f>
        <v>275512.54079997318</v>
      </c>
      <c r="Q108">
        <f t="shared" ref="Q108:Q144" si="51">(O108+P108)/2</f>
        <v>514836.21539994969</v>
      </c>
      <c r="R108">
        <f t="shared" ref="R108:R144" si="52">(N108*F108)+R107</f>
        <v>401146259404761</v>
      </c>
      <c r="S108">
        <f t="shared" ref="S108:S144" si="53">(N108*G108)+S107</f>
        <v>61765022.700007841</v>
      </c>
      <c r="T108">
        <f t="shared" ref="T108:T144" si="54">(R108+S108)/2</f>
        <v>200573160584891.84</v>
      </c>
    </row>
    <row r="109" spans="1:20" x14ac:dyDescent="0.35">
      <c r="A109" s="1">
        <v>38861.78125</v>
      </c>
      <c r="B109">
        <v>0.95799999999999996</v>
      </c>
      <c r="C109" s="2">
        <f t="shared" si="37"/>
        <v>0.30409999999999998</v>
      </c>
      <c r="D109">
        <f t="shared" si="38"/>
        <v>0.112112</v>
      </c>
      <c r="E109">
        <f t="shared" si="39"/>
        <v>306380750</v>
      </c>
      <c r="F109">
        <f t="shared" si="40"/>
        <v>163235072</v>
      </c>
      <c r="G109">
        <f t="shared" si="41"/>
        <v>120.93030000000007</v>
      </c>
      <c r="H109">
        <f t="shared" si="42"/>
        <v>44.211095999999984</v>
      </c>
      <c r="I109">
        <f t="shared" si="43"/>
        <v>82.570698000000021</v>
      </c>
      <c r="J109">
        <f t="shared" si="44"/>
        <v>121837277250</v>
      </c>
      <c r="K109">
        <f t="shared" si="45"/>
        <v>64371355776</v>
      </c>
      <c r="L109">
        <f t="shared" si="46"/>
        <v>93104316513</v>
      </c>
      <c r="M109" s="1">
        <v>38861.78125</v>
      </c>
      <c r="N109">
        <f>N99</f>
        <v>0</v>
      </c>
      <c r="O109">
        <f t="shared" si="49"/>
        <v>754159.88999992621</v>
      </c>
      <c r="P109">
        <f t="shared" si="50"/>
        <v>275512.54079997318</v>
      </c>
      <c r="Q109">
        <f t="shared" si="51"/>
        <v>514836.21539994969</v>
      </c>
      <c r="R109">
        <f t="shared" si="52"/>
        <v>401146259404761</v>
      </c>
      <c r="S109">
        <f t="shared" si="53"/>
        <v>61765022.700007841</v>
      </c>
      <c r="T109">
        <f t="shared" si="54"/>
        <v>200573160584891.84</v>
      </c>
    </row>
    <row r="110" spans="1:20" x14ac:dyDescent="0.35">
      <c r="A110" s="1">
        <v>38862.743055555555</v>
      </c>
      <c r="B110">
        <v>0.77100000000000002</v>
      </c>
      <c r="C110" s="2">
        <f t="shared" si="37"/>
        <v>0.21995000000000003</v>
      </c>
      <c r="D110">
        <f t="shared" si="38"/>
        <v>8.1444000000000003E-2</v>
      </c>
      <c r="E110">
        <f t="shared" si="39"/>
        <v>221599625.00000006</v>
      </c>
      <c r="F110">
        <f t="shared" si="40"/>
        <v>118582464</v>
      </c>
      <c r="G110">
        <f t="shared" si="41"/>
        <v>121.15025000000007</v>
      </c>
      <c r="H110">
        <f t="shared" si="42"/>
        <v>44.292539999999981</v>
      </c>
      <c r="I110">
        <f t="shared" si="43"/>
        <v>82.72139500000003</v>
      </c>
      <c r="J110">
        <f t="shared" si="44"/>
        <v>122058876875</v>
      </c>
      <c r="K110">
        <f t="shared" si="45"/>
        <v>64489938240</v>
      </c>
      <c r="L110">
        <f t="shared" si="46"/>
        <v>93274407557.5</v>
      </c>
      <c r="M110" s="1">
        <v>38862.743055555555</v>
      </c>
      <c r="N110">
        <f t="shared" si="48"/>
        <v>83099.999999930151</v>
      </c>
      <c r="O110">
        <f t="shared" si="49"/>
        <v>772437.73499991081</v>
      </c>
      <c r="P110">
        <f t="shared" si="50"/>
        <v>282280.53719996748</v>
      </c>
      <c r="Q110">
        <f t="shared" si="51"/>
        <v>527359.13609993912</v>
      </c>
      <c r="R110">
        <f t="shared" si="52"/>
        <v>411000462163152.69</v>
      </c>
      <c r="S110">
        <f t="shared" si="53"/>
        <v>71832608.474999383</v>
      </c>
      <c r="T110">
        <f t="shared" si="54"/>
        <v>205500266997880.59</v>
      </c>
    </row>
    <row r="111" spans="1:20" x14ac:dyDescent="0.35">
      <c r="A111" s="1">
        <v>38863.645833333336</v>
      </c>
      <c r="B111">
        <v>2.1349999999999998</v>
      </c>
      <c r="C111" s="2">
        <f t="shared" si="37"/>
        <v>0.83374999999999988</v>
      </c>
      <c r="D111">
        <f t="shared" si="38"/>
        <v>0.30514000000000002</v>
      </c>
      <c r="E111">
        <f t="shared" si="39"/>
        <v>840003124.99999988</v>
      </c>
      <c r="F111">
        <f t="shared" si="40"/>
        <v>444283840</v>
      </c>
      <c r="G111">
        <f t="shared" si="41"/>
        <v>121.98400000000007</v>
      </c>
      <c r="H111">
        <f t="shared" si="42"/>
        <v>44.597679999999983</v>
      </c>
      <c r="I111">
        <f t="shared" si="43"/>
        <v>83.290840000000031</v>
      </c>
      <c r="J111">
        <f t="shared" si="44"/>
        <v>122898880000</v>
      </c>
      <c r="K111">
        <f t="shared" si="45"/>
        <v>64934222080</v>
      </c>
      <c r="L111">
        <f t="shared" si="46"/>
        <v>93916551040</v>
      </c>
      <c r="M111" s="1">
        <v>38863.645833333336</v>
      </c>
      <c r="N111">
        <f t="shared" si="48"/>
        <v>78000.000000279397</v>
      </c>
      <c r="O111">
        <f t="shared" si="49"/>
        <v>837470.23500014376</v>
      </c>
      <c r="P111">
        <f t="shared" si="50"/>
        <v>306081.45720005274</v>
      </c>
      <c r="Q111">
        <f t="shared" si="51"/>
        <v>571775.84610009822</v>
      </c>
      <c r="R111">
        <f t="shared" si="52"/>
        <v>445654601683276.81</v>
      </c>
      <c r="S111">
        <f t="shared" si="53"/>
        <v>81347360.475033462</v>
      </c>
      <c r="T111">
        <f t="shared" si="54"/>
        <v>222827341515318.66</v>
      </c>
    </row>
    <row r="112" spans="1:20" x14ac:dyDescent="0.35">
      <c r="A112" s="1">
        <v>38863.770833333336</v>
      </c>
      <c r="B112">
        <v>1.649</v>
      </c>
      <c r="C112" s="2">
        <f t="shared" si="37"/>
        <v>0.61504999999999999</v>
      </c>
      <c r="D112">
        <f t="shared" si="38"/>
        <v>0.22543600000000003</v>
      </c>
      <c r="E112">
        <f t="shared" si="39"/>
        <v>619662875</v>
      </c>
      <c r="F112">
        <f t="shared" si="40"/>
        <v>328234816.00000006</v>
      </c>
      <c r="G112">
        <f t="shared" si="41"/>
        <v>122.59905000000006</v>
      </c>
      <c r="H112">
        <f t="shared" si="42"/>
        <v>44.823115999999985</v>
      </c>
      <c r="I112">
        <f t="shared" si="43"/>
        <v>83.711083000000031</v>
      </c>
      <c r="J112">
        <f t="shared" si="44"/>
        <v>123518542875</v>
      </c>
      <c r="K112">
        <f t="shared" si="45"/>
        <v>65262456896</v>
      </c>
      <c r="L112">
        <f t="shared" si="46"/>
        <v>94390499885.5</v>
      </c>
      <c r="M112" s="1">
        <v>38863.770833333336</v>
      </c>
      <c r="N112">
        <f t="shared" si="48"/>
        <v>10800</v>
      </c>
      <c r="O112">
        <f t="shared" si="49"/>
        <v>844112.7750001438</v>
      </c>
      <c r="P112">
        <f t="shared" si="50"/>
        <v>308516.16600005276</v>
      </c>
      <c r="Q112">
        <f t="shared" si="51"/>
        <v>576314.47050009831</v>
      </c>
      <c r="R112">
        <f t="shared" si="52"/>
        <v>449199537696076.81</v>
      </c>
      <c r="S112">
        <f t="shared" si="53"/>
        <v>82671430.215033457</v>
      </c>
      <c r="T112">
        <f t="shared" si="54"/>
        <v>224599810183753.5</v>
      </c>
    </row>
    <row r="113" spans="1:20" x14ac:dyDescent="0.35">
      <c r="A113" s="1">
        <v>38865.763888888891</v>
      </c>
      <c r="B113">
        <v>2.3529999999999998</v>
      </c>
      <c r="C113" s="2">
        <f t="shared" si="37"/>
        <v>0.93184999999999985</v>
      </c>
      <c r="D113">
        <f t="shared" si="38"/>
        <v>0.34089199999999997</v>
      </c>
      <c r="E113">
        <f t="shared" si="39"/>
        <v>938838874.99999976</v>
      </c>
      <c r="F113">
        <f t="shared" si="40"/>
        <v>496338751.99999994</v>
      </c>
      <c r="G113">
        <f t="shared" si="41"/>
        <v>123.53090000000006</v>
      </c>
      <c r="H113">
        <f t="shared" si="42"/>
        <v>45.164007999999981</v>
      </c>
      <c r="I113">
        <f t="shared" si="43"/>
        <v>84.347454000000027</v>
      </c>
      <c r="J113">
        <f t="shared" si="44"/>
        <v>124457381750</v>
      </c>
      <c r="K113">
        <f t="shared" si="45"/>
        <v>65758795648</v>
      </c>
      <c r="L113">
        <f t="shared" si="46"/>
        <v>95108088699</v>
      </c>
      <c r="M113" s="1">
        <v>38865.763888888891</v>
      </c>
      <c r="N113">
        <f t="shared" si="48"/>
        <v>172199.99999993015</v>
      </c>
      <c r="O113">
        <f t="shared" si="49"/>
        <v>1004577.3450000787</v>
      </c>
      <c r="P113">
        <f t="shared" si="50"/>
        <v>367217.76840002893</v>
      </c>
      <c r="Q113">
        <f t="shared" si="51"/>
        <v>685897.55670005386</v>
      </c>
      <c r="R113">
        <f t="shared" si="52"/>
        <v>534669070790442.13</v>
      </c>
      <c r="S113">
        <f t="shared" si="53"/>
        <v>103943451.19502483</v>
      </c>
      <c r="T113">
        <f t="shared" si="54"/>
        <v>267334587366946.66</v>
      </c>
    </row>
    <row r="114" spans="1:20" x14ac:dyDescent="0.35">
      <c r="A114" s="1">
        <v>38866.725694444445</v>
      </c>
      <c r="B114">
        <v>1.5940000000000001</v>
      </c>
      <c r="C114" s="2">
        <f t="shared" si="37"/>
        <v>0.59030000000000005</v>
      </c>
      <c r="D114">
        <f t="shared" si="38"/>
        <v>0.21641600000000005</v>
      </c>
      <c r="E114">
        <f t="shared" si="39"/>
        <v>594727250.00000012</v>
      </c>
      <c r="F114">
        <f t="shared" si="40"/>
        <v>315101696.00000006</v>
      </c>
      <c r="G114">
        <f t="shared" si="41"/>
        <v>124.12120000000006</v>
      </c>
      <c r="H114">
        <f t="shared" si="42"/>
        <v>45.380423999999984</v>
      </c>
      <c r="I114">
        <f t="shared" si="43"/>
        <v>84.750812000000025</v>
      </c>
      <c r="J114">
        <f t="shared" si="44"/>
        <v>125052109000</v>
      </c>
      <c r="K114">
        <f t="shared" si="45"/>
        <v>66073897344</v>
      </c>
      <c r="L114">
        <f t="shared" si="46"/>
        <v>95563003172</v>
      </c>
      <c r="M114" s="1">
        <v>38866.725694444445</v>
      </c>
      <c r="N114">
        <f t="shared" si="48"/>
        <v>83099.999999930151</v>
      </c>
      <c r="O114">
        <f t="shared" si="49"/>
        <v>1053631.2750000374</v>
      </c>
      <c r="P114">
        <f t="shared" si="50"/>
        <v>385201.93800001382</v>
      </c>
      <c r="Q114">
        <f t="shared" si="51"/>
        <v>719416.60650002561</v>
      </c>
      <c r="R114">
        <f t="shared" si="52"/>
        <v>560854021728020.13</v>
      </c>
      <c r="S114">
        <f t="shared" si="53"/>
        <v>114257922.91501617</v>
      </c>
      <c r="T114">
        <f t="shared" si="54"/>
        <v>280427067992971.53</v>
      </c>
    </row>
    <row r="115" spans="1:20" x14ac:dyDescent="0.35">
      <c r="A115" s="1">
        <v>38867.118055555555</v>
      </c>
      <c r="B115">
        <v>3.145</v>
      </c>
      <c r="C115" s="2">
        <f t="shared" si="37"/>
        <v>1.2882500000000001</v>
      </c>
      <c r="D115">
        <f t="shared" si="38"/>
        <v>0.47078000000000003</v>
      </c>
      <c r="E115">
        <f t="shared" si="39"/>
        <v>1297911875</v>
      </c>
      <c r="F115">
        <f t="shared" si="40"/>
        <v>685455680</v>
      </c>
      <c r="G115">
        <f t="shared" si="41"/>
        <v>125.40945000000006</v>
      </c>
      <c r="H115">
        <f t="shared" si="42"/>
        <v>45.851203999999981</v>
      </c>
      <c r="I115">
        <f t="shared" si="43"/>
        <v>85.630327000000023</v>
      </c>
      <c r="J115">
        <f t="shared" si="44"/>
        <v>126350020875</v>
      </c>
      <c r="K115">
        <f t="shared" si="45"/>
        <v>66759353024</v>
      </c>
      <c r="L115">
        <f t="shared" si="46"/>
        <v>96554686949.5</v>
      </c>
      <c r="M115" s="1">
        <v>38867.118055555555</v>
      </c>
      <c r="N115">
        <f t="shared" si="48"/>
        <v>33899.999999860302</v>
      </c>
      <c r="O115">
        <f t="shared" si="49"/>
        <v>1097302.9499998575</v>
      </c>
      <c r="P115">
        <f t="shared" si="50"/>
        <v>401161.37999994803</v>
      </c>
      <c r="Q115">
        <f t="shared" si="51"/>
        <v>749232.16499990271</v>
      </c>
      <c r="R115">
        <f t="shared" si="52"/>
        <v>584090969279924.38</v>
      </c>
      <c r="S115">
        <f t="shared" si="53"/>
        <v>118509303.26999865</v>
      </c>
      <c r="T115">
        <f t="shared" si="54"/>
        <v>292045543894613.81</v>
      </c>
    </row>
    <row r="116" spans="1:20" x14ac:dyDescent="0.35">
      <c r="A116" s="1">
        <v>38867.631944444445</v>
      </c>
      <c r="B116">
        <v>6.976</v>
      </c>
      <c r="C116" s="2">
        <f t="shared" si="37"/>
        <v>3.0122</v>
      </c>
      <c r="D116">
        <f t="shared" si="38"/>
        <v>1.099064</v>
      </c>
      <c r="E116">
        <f t="shared" si="39"/>
        <v>3034791500</v>
      </c>
      <c r="F116">
        <f t="shared" si="40"/>
        <v>1600237184</v>
      </c>
      <c r="G116">
        <f t="shared" si="41"/>
        <v>128.42165000000006</v>
      </c>
      <c r="H116">
        <f t="shared" si="42"/>
        <v>46.95026799999998</v>
      </c>
      <c r="I116">
        <f t="shared" si="43"/>
        <v>87.685959000000025</v>
      </c>
      <c r="J116">
        <f t="shared" si="44"/>
        <v>129384812375</v>
      </c>
      <c r="K116">
        <f t="shared" si="45"/>
        <v>68359590208</v>
      </c>
      <c r="L116">
        <f t="shared" si="46"/>
        <v>98872201291.5</v>
      </c>
      <c r="M116" s="1">
        <v>38867.631944444445</v>
      </c>
      <c r="N116">
        <f t="shared" si="48"/>
        <v>44400.000000139698</v>
      </c>
      <c r="O116">
        <f t="shared" si="49"/>
        <v>1231044.6300002784</v>
      </c>
      <c r="P116">
        <f t="shared" si="50"/>
        <v>449959.82160010154</v>
      </c>
      <c r="Q116">
        <f t="shared" si="51"/>
        <v>840502.22580018989</v>
      </c>
      <c r="R116">
        <f t="shared" si="52"/>
        <v>655141500249747.88</v>
      </c>
      <c r="S116">
        <f t="shared" si="53"/>
        <v>124211224.5300166</v>
      </c>
      <c r="T116">
        <f t="shared" si="54"/>
        <v>327570812230486.19</v>
      </c>
    </row>
    <row r="117" spans="1:20" x14ac:dyDescent="0.35">
      <c r="A117" s="1">
        <v>38867.753472222219</v>
      </c>
      <c r="B117">
        <v>4.1349999999999998</v>
      </c>
      <c r="C117" s="2">
        <f t="shared" si="37"/>
        <v>1.7337499999999999</v>
      </c>
      <c r="D117">
        <f t="shared" si="38"/>
        <v>0.63313999999999993</v>
      </c>
      <c r="E117">
        <f t="shared" si="39"/>
        <v>1746753125</v>
      </c>
      <c r="F117">
        <f t="shared" si="40"/>
        <v>921851839.99999988</v>
      </c>
      <c r="G117">
        <f t="shared" si="41"/>
        <v>130.15540000000004</v>
      </c>
      <c r="H117">
        <f t="shared" si="42"/>
        <v>47.583407999999977</v>
      </c>
      <c r="I117">
        <f t="shared" si="43"/>
        <v>88.869404000000003</v>
      </c>
      <c r="J117">
        <f t="shared" si="44"/>
        <v>131131565500</v>
      </c>
      <c r="K117">
        <f t="shared" si="45"/>
        <v>69281442048</v>
      </c>
      <c r="L117">
        <f t="shared" si="46"/>
        <v>100206503774</v>
      </c>
      <c r="M117" s="1">
        <v>38867.753472222219</v>
      </c>
      <c r="N117">
        <f t="shared" si="48"/>
        <v>10499.999999650754</v>
      </c>
      <c r="O117">
        <f t="shared" si="49"/>
        <v>1249249.0049996728</v>
      </c>
      <c r="P117">
        <f t="shared" si="50"/>
        <v>456607.79159988044</v>
      </c>
      <c r="Q117">
        <f t="shared" si="51"/>
        <v>852928.3982997766</v>
      </c>
      <c r="R117">
        <f t="shared" si="52"/>
        <v>664820944569425.88</v>
      </c>
      <c r="S117">
        <f t="shared" si="53"/>
        <v>125577856.22997114</v>
      </c>
      <c r="T117">
        <f t="shared" si="54"/>
        <v>332410535073641.06</v>
      </c>
    </row>
    <row r="118" spans="1:20" x14ac:dyDescent="0.35">
      <c r="A118" s="1">
        <v>38869.621527777781</v>
      </c>
      <c r="B118">
        <v>4.1659999999999995</v>
      </c>
      <c r="C118" s="2">
        <f t="shared" si="37"/>
        <v>1.7476999999999998</v>
      </c>
      <c r="D118">
        <f t="shared" si="38"/>
        <v>0.6382239999999999</v>
      </c>
      <c r="E118">
        <f t="shared" si="39"/>
        <v>1760807749.9999998</v>
      </c>
      <c r="F118">
        <f t="shared" si="40"/>
        <v>929254143.99999988</v>
      </c>
      <c r="G118">
        <f t="shared" si="41"/>
        <v>131.90310000000005</v>
      </c>
      <c r="H118">
        <f t="shared" si="42"/>
        <v>48.221631999999978</v>
      </c>
      <c r="I118">
        <f t="shared" si="43"/>
        <v>90.062366000000011</v>
      </c>
      <c r="J118">
        <f t="shared" si="44"/>
        <v>132892373250</v>
      </c>
      <c r="K118">
        <f t="shared" si="45"/>
        <v>70210696192</v>
      </c>
      <c r="L118">
        <f t="shared" si="46"/>
        <v>101551534721</v>
      </c>
      <c r="M118" s="1">
        <v>38869.621527777781</v>
      </c>
      <c r="N118">
        <f t="shared" si="48"/>
        <v>161400.00000055879</v>
      </c>
      <c r="O118">
        <f t="shared" si="49"/>
        <v>1531327.7850006493</v>
      </c>
      <c r="P118">
        <f t="shared" si="50"/>
        <v>559617.14520023705</v>
      </c>
      <c r="Q118">
        <f t="shared" si="51"/>
        <v>1045472.4651004432</v>
      </c>
      <c r="R118">
        <f t="shared" si="52"/>
        <v>814802563411545.13</v>
      </c>
      <c r="S118">
        <f t="shared" si="53"/>
        <v>146867016.57004485</v>
      </c>
      <c r="T118">
        <f t="shared" si="54"/>
        <v>407401355139280.88</v>
      </c>
    </row>
    <row r="119" spans="1:20" x14ac:dyDescent="0.35">
      <c r="A119" s="1">
        <v>38869.746527777781</v>
      </c>
      <c r="B119">
        <v>2.6970000000000001</v>
      </c>
      <c r="C119" s="2">
        <f t="shared" si="37"/>
        <v>1.0866500000000001</v>
      </c>
      <c r="D119">
        <f t="shared" si="38"/>
        <v>0.39730800000000005</v>
      </c>
      <c r="E119">
        <f t="shared" si="39"/>
        <v>1094799875.0000002</v>
      </c>
      <c r="F119">
        <f t="shared" si="40"/>
        <v>578480448</v>
      </c>
      <c r="G119">
        <f t="shared" si="41"/>
        <v>132.98975000000004</v>
      </c>
      <c r="H119">
        <f t="shared" si="42"/>
        <v>48.618939999999981</v>
      </c>
      <c r="I119">
        <f t="shared" si="43"/>
        <v>90.804345000000012</v>
      </c>
      <c r="J119">
        <f t="shared" si="44"/>
        <v>133987173125</v>
      </c>
      <c r="K119">
        <f t="shared" si="45"/>
        <v>70789176640</v>
      </c>
      <c r="L119">
        <f t="shared" si="46"/>
        <v>102388174882.5</v>
      </c>
      <c r="M119" s="1">
        <v>38869.746527777781</v>
      </c>
      <c r="N119">
        <f t="shared" si="48"/>
        <v>10800</v>
      </c>
      <c r="O119">
        <f t="shared" si="49"/>
        <v>1543063.6050006493</v>
      </c>
      <c r="P119">
        <f t="shared" si="50"/>
        <v>563908.07160023705</v>
      </c>
      <c r="Q119">
        <f t="shared" si="51"/>
        <v>1053485.8383004433</v>
      </c>
      <c r="R119">
        <f t="shared" si="52"/>
        <v>821050152249945.13</v>
      </c>
      <c r="S119">
        <f t="shared" si="53"/>
        <v>148303305.87004486</v>
      </c>
      <c r="T119">
        <f t="shared" si="54"/>
        <v>410525150276625.5</v>
      </c>
    </row>
    <row r="120" spans="1:20" x14ac:dyDescent="0.35">
      <c r="A120" s="1">
        <v>38870.652777777781</v>
      </c>
      <c r="B120">
        <v>8.4710000000000001</v>
      </c>
      <c r="C120" s="2">
        <f t="shared" si="37"/>
        <v>3.6849499999999997</v>
      </c>
      <c r="D120">
        <f t="shared" si="38"/>
        <v>1.3442440000000002</v>
      </c>
      <c r="E120">
        <f t="shared" si="39"/>
        <v>3712587124.9999995</v>
      </c>
      <c r="F120">
        <f t="shared" si="40"/>
        <v>1957219264.0000002</v>
      </c>
      <c r="G120">
        <f t="shared" si="41"/>
        <v>136.67470000000003</v>
      </c>
      <c r="H120">
        <f t="shared" si="42"/>
        <v>49.963183999999984</v>
      </c>
      <c r="I120">
        <f t="shared" si="43"/>
        <v>93.318942000000007</v>
      </c>
      <c r="J120">
        <f t="shared" si="44"/>
        <v>137699760250</v>
      </c>
      <c r="K120">
        <f t="shared" si="45"/>
        <v>72746395904</v>
      </c>
      <c r="L120">
        <f t="shared" si="46"/>
        <v>105223078077</v>
      </c>
      <c r="M120" s="1">
        <v>38870.652777777781</v>
      </c>
      <c r="N120">
        <f t="shared" si="48"/>
        <v>78300</v>
      </c>
      <c r="O120">
        <f t="shared" si="49"/>
        <v>1831595.1900006493</v>
      </c>
      <c r="P120">
        <f t="shared" si="50"/>
        <v>669162.37680023711</v>
      </c>
      <c r="Q120">
        <f t="shared" si="51"/>
        <v>1250378.7834004431</v>
      </c>
      <c r="R120">
        <f t="shared" si="52"/>
        <v>974300420621145.13</v>
      </c>
      <c r="S120">
        <f t="shared" si="53"/>
        <v>159004934.88004485</v>
      </c>
      <c r="T120">
        <f t="shared" si="54"/>
        <v>487150289813040</v>
      </c>
    </row>
    <row r="121" spans="1:20" x14ac:dyDescent="0.35">
      <c r="A121" s="1">
        <v>38870.777777777781</v>
      </c>
      <c r="B121">
        <v>3.2649999999999997</v>
      </c>
      <c r="C121" s="2">
        <f t="shared" si="37"/>
        <v>1.3422499999999999</v>
      </c>
      <c r="D121">
        <f t="shared" si="38"/>
        <v>0.49045999999999995</v>
      </c>
      <c r="E121">
        <f t="shared" si="39"/>
        <v>1352316875</v>
      </c>
      <c r="F121">
        <f t="shared" si="40"/>
        <v>714109760</v>
      </c>
      <c r="G121">
        <f t="shared" si="41"/>
        <v>138.01695000000004</v>
      </c>
      <c r="H121">
        <f t="shared" si="42"/>
        <v>50.453643999999983</v>
      </c>
      <c r="I121">
        <f t="shared" si="43"/>
        <v>94.235297000000003</v>
      </c>
      <c r="J121">
        <f t="shared" si="44"/>
        <v>139052077125</v>
      </c>
      <c r="K121">
        <f t="shared" si="45"/>
        <v>73460505664</v>
      </c>
      <c r="L121">
        <f t="shared" si="46"/>
        <v>106256291394.5</v>
      </c>
      <c r="M121" s="1">
        <v>38870.777777777781</v>
      </c>
      <c r="N121">
        <f t="shared" si="48"/>
        <v>10800</v>
      </c>
      <c r="O121">
        <f t="shared" si="49"/>
        <v>1846091.4900006494</v>
      </c>
      <c r="P121">
        <f t="shared" si="50"/>
        <v>674459.3448002371</v>
      </c>
      <c r="Q121">
        <f t="shared" si="51"/>
        <v>1260275.4174004432</v>
      </c>
      <c r="R121">
        <f t="shared" si="52"/>
        <v>982012806029145.13</v>
      </c>
      <c r="S121">
        <f t="shared" si="53"/>
        <v>160495517.94004485</v>
      </c>
      <c r="T121">
        <f t="shared" si="54"/>
        <v>491006483262331.56</v>
      </c>
    </row>
    <row r="122" spans="1:20" x14ac:dyDescent="0.35">
      <c r="A122" s="1">
        <v>38871.614583333336</v>
      </c>
      <c r="B122">
        <v>0.70699999999999996</v>
      </c>
      <c r="C122" s="2">
        <f t="shared" si="37"/>
        <v>0.19114999999999999</v>
      </c>
      <c r="D122">
        <f t="shared" si="38"/>
        <v>7.0947999999999997E-2</v>
      </c>
      <c r="E122">
        <f t="shared" si="39"/>
        <v>192583624.99999997</v>
      </c>
      <c r="F122">
        <f t="shared" si="40"/>
        <v>103300288</v>
      </c>
      <c r="G122">
        <f t="shared" si="41"/>
        <v>138.20810000000003</v>
      </c>
      <c r="H122">
        <f t="shared" si="42"/>
        <v>50.524591999999984</v>
      </c>
      <c r="I122">
        <f t="shared" si="43"/>
        <v>94.366346000000007</v>
      </c>
      <c r="J122">
        <f t="shared" si="44"/>
        <v>139244660750</v>
      </c>
      <c r="K122">
        <f t="shared" si="45"/>
        <v>73563805952</v>
      </c>
      <c r="L122">
        <f t="shared" si="46"/>
        <v>106404233351</v>
      </c>
      <c r="M122" s="1">
        <v>38871.614583333336</v>
      </c>
      <c r="N122">
        <f t="shared" si="48"/>
        <v>72299.999999930151</v>
      </c>
      <c r="O122">
        <f t="shared" si="49"/>
        <v>1859911.6350006361</v>
      </c>
      <c r="P122">
        <f t="shared" si="50"/>
        <v>679588.88520023215</v>
      </c>
      <c r="Q122">
        <f t="shared" si="51"/>
        <v>1269750.2601004341</v>
      </c>
      <c r="R122">
        <f t="shared" si="52"/>
        <v>989481416851537.88</v>
      </c>
      <c r="S122">
        <f t="shared" si="53"/>
        <v>170487963.57003519</v>
      </c>
      <c r="T122">
        <f t="shared" si="54"/>
        <v>494740793669750.75</v>
      </c>
    </row>
    <row r="123" spans="1:20" x14ac:dyDescent="0.35">
      <c r="A123" s="1">
        <v>38871.736111111109</v>
      </c>
      <c r="B123">
        <v>2.024</v>
      </c>
      <c r="C123" s="2">
        <f t="shared" si="37"/>
        <v>0.78380000000000005</v>
      </c>
      <c r="D123">
        <f t="shared" si="38"/>
        <v>0.28693600000000002</v>
      </c>
      <c r="E123">
        <f t="shared" si="39"/>
        <v>789678500</v>
      </c>
      <c r="F123">
        <f t="shared" si="40"/>
        <v>417778816.00000006</v>
      </c>
      <c r="G123">
        <f t="shared" si="41"/>
        <v>138.99190000000004</v>
      </c>
      <c r="H123">
        <f t="shared" si="42"/>
        <v>50.811527999999981</v>
      </c>
      <c r="I123">
        <f t="shared" si="43"/>
        <v>94.901714000000013</v>
      </c>
      <c r="J123">
        <f t="shared" si="44"/>
        <v>140034339250</v>
      </c>
      <c r="K123">
        <f t="shared" si="45"/>
        <v>73981584768</v>
      </c>
      <c r="L123">
        <f t="shared" si="46"/>
        <v>107007962009</v>
      </c>
      <c r="M123" s="1">
        <v>38871.736111111109</v>
      </c>
      <c r="N123">
        <f t="shared" si="48"/>
        <v>10499.999999650754</v>
      </c>
      <c r="O123">
        <f t="shared" si="49"/>
        <v>1868141.5350003624</v>
      </c>
      <c r="P123">
        <f t="shared" si="50"/>
        <v>682601.7132001319</v>
      </c>
      <c r="Q123">
        <f t="shared" si="51"/>
        <v>1275371.6241002472</v>
      </c>
      <c r="R123">
        <f t="shared" si="52"/>
        <v>993868094419392</v>
      </c>
      <c r="S123">
        <f t="shared" si="53"/>
        <v>171947378.51998666</v>
      </c>
      <c r="T123">
        <f t="shared" si="54"/>
        <v>496934133183385.25</v>
      </c>
    </row>
    <row r="124" spans="1:20" x14ac:dyDescent="0.35">
      <c r="A124" s="1">
        <v>38872.131944444445</v>
      </c>
      <c r="B124">
        <v>4.5620000000000003</v>
      </c>
      <c r="C124" s="2">
        <f t="shared" si="37"/>
        <v>1.9259000000000002</v>
      </c>
      <c r="D124">
        <f t="shared" si="38"/>
        <v>0.70316800000000002</v>
      </c>
      <c r="E124">
        <f t="shared" si="39"/>
        <v>1940344250</v>
      </c>
      <c r="F124">
        <f t="shared" si="40"/>
        <v>1023812608.0000001</v>
      </c>
      <c r="G124">
        <f t="shared" si="41"/>
        <v>140.91780000000006</v>
      </c>
      <c r="H124">
        <f t="shared" si="42"/>
        <v>51.514695999999979</v>
      </c>
      <c r="I124">
        <f t="shared" si="43"/>
        <v>96.216248000000022</v>
      </c>
      <c r="J124">
        <f t="shared" si="44"/>
        <v>141974683500</v>
      </c>
      <c r="K124">
        <f t="shared" si="45"/>
        <v>75005397376</v>
      </c>
      <c r="L124">
        <f t="shared" si="46"/>
        <v>108490040438</v>
      </c>
      <c r="M124" s="1">
        <v>38872.131944444445</v>
      </c>
      <c r="N124">
        <f t="shared" si="48"/>
        <v>34200.000000209548</v>
      </c>
      <c r="O124">
        <f t="shared" si="49"/>
        <v>1934007.315000766</v>
      </c>
      <c r="P124">
        <f t="shared" si="50"/>
        <v>706650.05880027928</v>
      </c>
      <c r="Q124">
        <f t="shared" si="51"/>
        <v>1320328.6869005226</v>
      </c>
      <c r="R124">
        <f t="shared" si="52"/>
        <v>1028882485613206.5</v>
      </c>
      <c r="S124">
        <f t="shared" si="53"/>
        <v>176766767.28001618</v>
      </c>
      <c r="T124">
        <f t="shared" si="54"/>
        <v>514441331189986.88</v>
      </c>
    </row>
    <row r="125" spans="1:20" x14ac:dyDescent="0.35">
      <c r="A125" s="1">
        <v>38872.25</v>
      </c>
      <c r="B125">
        <v>4.0720000000000001</v>
      </c>
      <c r="C125" s="2">
        <f t="shared" si="37"/>
        <v>1.7054</v>
      </c>
      <c r="D125">
        <f t="shared" si="38"/>
        <v>0.62280800000000003</v>
      </c>
      <c r="E125">
        <f t="shared" si="39"/>
        <v>1718190500</v>
      </c>
      <c r="F125">
        <f t="shared" si="40"/>
        <v>906808448</v>
      </c>
      <c r="G125">
        <f t="shared" si="41"/>
        <v>142.62320000000005</v>
      </c>
      <c r="H125">
        <f t="shared" si="42"/>
        <v>52.137503999999979</v>
      </c>
      <c r="I125">
        <f t="shared" si="43"/>
        <v>97.380352000000016</v>
      </c>
      <c r="J125">
        <f t="shared" si="44"/>
        <v>143692874000</v>
      </c>
      <c r="K125">
        <f t="shared" si="45"/>
        <v>75912205824</v>
      </c>
      <c r="L125">
        <f t="shared" si="46"/>
        <v>109802539912</v>
      </c>
      <c r="M125" s="1">
        <v>38872.25</v>
      </c>
      <c r="N125">
        <f t="shared" si="48"/>
        <v>10199.999999930151</v>
      </c>
      <c r="O125">
        <f t="shared" si="49"/>
        <v>1951402.3950006468</v>
      </c>
      <c r="P125">
        <f t="shared" si="50"/>
        <v>713002.70040023583</v>
      </c>
      <c r="Q125">
        <f t="shared" si="51"/>
        <v>1332202.5477004414</v>
      </c>
      <c r="R125">
        <f t="shared" si="52"/>
        <v>1038131931782743.1</v>
      </c>
      <c r="S125">
        <f t="shared" si="53"/>
        <v>178221523.92000622</v>
      </c>
      <c r="T125">
        <f t="shared" si="54"/>
        <v>519066055002133.5</v>
      </c>
    </row>
    <row r="126" spans="1:20" x14ac:dyDescent="0.35">
      <c r="A126" s="1">
        <v>38872.642361111109</v>
      </c>
      <c r="B126">
        <v>5.59</v>
      </c>
      <c r="C126" s="2">
        <f t="shared" si="37"/>
        <v>2.3884999999999996</v>
      </c>
      <c r="D126">
        <f t="shared" si="38"/>
        <v>0.87175999999999998</v>
      </c>
      <c r="E126">
        <f t="shared" si="39"/>
        <v>2406413750</v>
      </c>
      <c r="F126">
        <f t="shared" si="40"/>
        <v>1269282560</v>
      </c>
      <c r="G126">
        <f t="shared" si="41"/>
        <v>145.01170000000005</v>
      </c>
      <c r="H126">
        <f t="shared" si="42"/>
        <v>53.00926399999998</v>
      </c>
      <c r="I126">
        <f t="shared" si="43"/>
        <v>99.01048200000001</v>
      </c>
      <c r="J126">
        <f t="shared" si="44"/>
        <v>146099287750</v>
      </c>
      <c r="K126">
        <f t="shared" si="45"/>
        <v>77181488384</v>
      </c>
      <c r="L126">
        <f t="shared" si="46"/>
        <v>111640388067</v>
      </c>
      <c r="M126" s="1">
        <v>38872.642361111109</v>
      </c>
      <c r="N126">
        <f t="shared" si="48"/>
        <v>33899.999999860302</v>
      </c>
      <c r="O126">
        <f t="shared" si="49"/>
        <v>2032372.5450003131</v>
      </c>
      <c r="P126">
        <f t="shared" si="50"/>
        <v>742555.36440011405</v>
      </c>
      <c r="Q126">
        <f t="shared" si="51"/>
        <v>1387463.9547002136</v>
      </c>
      <c r="R126">
        <f t="shared" si="52"/>
        <v>1081160610566565.8</v>
      </c>
      <c r="S126">
        <f t="shared" si="53"/>
        <v>183137420.54998595</v>
      </c>
      <c r="T126">
        <f t="shared" si="54"/>
        <v>540580396851993.13</v>
      </c>
    </row>
    <row r="127" spans="1:20" x14ac:dyDescent="0.35">
      <c r="A127" s="1">
        <v>38872.767361111109</v>
      </c>
      <c r="B127">
        <v>3.7709999999999999</v>
      </c>
      <c r="C127" s="2">
        <f t="shared" si="37"/>
        <v>1.56995</v>
      </c>
      <c r="D127">
        <f t="shared" si="38"/>
        <v>0.57344399999999995</v>
      </c>
      <c r="E127">
        <f t="shared" si="39"/>
        <v>1581724625</v>
      </c>
      <c r="F127">
        <f t="shared" si="40"/>
        <v>834934463.99999988</v>
      </c>
      <c r="G127">
        <f t="shared" si="41"/>
        <v>146.58165000000005</v>
      </c>
      <c r="H127">
        <f t="shared" si="42"/>
        <v>53.582707999999982</v>
      </c>
      <c r="I127">
        <f t="shared" si="43"/>
        <v>100.08217900000002</v>
      </c>
      <c r="J127">
        <f t="shared" si="44"/>
        <v>147681012375</v>
      </c>
      <c r="K127">
        <f t="shared" si="45"/>
        <v>78016422848</v>
      </c>
      <c r="L127">
        <f t="shared" si="46"/>
        <v>112848717611.5</v>
      </c>
      <c r="M127" s="1">
        <v>38872.767361111109</v>
      </c>
      <c r="N127">
        <f t="shared" si="48"/>
        <v>10800</v>
      </c>
      <c r="O127">
        <f t="shared" si="49"/>
        <v>2049328.005000313</v>
      </c>
      <c r="P127">
        <f t="shared" si="50"/>
        <v>748748.55960011401</v>
      </c>
      <c r="Q127">
        <f t="shared" si="51"/>
        <v>1399038.2823002136</v>
      </c>
      <c r="R127">
        <f t="shared" si="52"/>
        <v>1090177902777765.8</v>
      </c>
      <c r="S127">
        <f t="shared" si="53"/>
        <v>184720502.36998594</v>
      </c>
      <c r="T127">
        <f t="shared" si="54"/>
        <v>545089043749134.06</v>
      </c>
    </row>
    <row r="128" spans="1:20" x14ac:dyDescent="0.35">
      <c r="A128" s="1">
        <v>38873.604166666664</v>
      </c>
      <c r="B128">
        <v>0.57799999999999996</v>
      </c>
      <c r="C128" s="2">
        <f t="shared" si="37"/>
        <v>0.1331</v>
      </c>
      <c r="D128">
        <f t="shared" si="38"/>
        <v>4.9792000000000003E-2</v>
      </c>
      <c r="E128">
        <f t="shared" si="39"/>
        <v>134098250</v>
      </c>
      <c r="F128">
        <f t="shared" si="40"/>
        <v>72497152</v>
      </c>
      <c r="G128">
        <f t="shared" si="41"/>
        <v>146.71475000000007</v>
      </c>
      <c r="H128">
        <f t="shared" si="42"/>
        <v>53.632499999999979</v>
      </c>
      <c r="I128">
        <f t="shared" si="43"/>
        <v>100.17362500000002</v>
      </c>
      <c r="J128">
        <f t="shared" si="44"/>
        <v>147815110625</v>
      </c>
      <c r="K128">
        <f t="shared" si="45"/>
        <v>78088920000</v>
      </c>
      <c r="L128">
        <f t="shared" si="46"/>
        <v>112952015312.5</v>
      </c>
      <c r="M128" s="1">
        <v>38873.604166666664</v>
      </c>
      <c r="N128">
        <f t="shared" si="48"/>
        <v>72299.999999930151</v>
      </c>
      <c r="O128">
        <f t="shared" si="49"/>
        <v>2058951.1350003039</v>
      </c>
      <c r="P128">
        <f t="shared" si="50"/>
        <v>752348.52120011055</v>
      </c>
      <c r="Q128">
        <f t="shared" si="51"/>
        <v>1405649.8281002073</v>
      </c>
      <c r="R128">
        <f t="shared" si="52"/>
        <v>1095419446867360.6</v>
      </c>
      <c r="S128">
        <f t="shared" si="53"/>
        <v>195327978.7949757</v>
      </c>
      <c r="T128">
        <f t="shared" si="54"/>
        <v>547709821097669.69</v>
      </c>
    </row>
    <row r="129" spans="1:20" x14ac:dyDescent="0.35">
      <c r="A129" s="1">
        <v>38874.121527777781</v>
      </c>
      <c r="B129">
        <v>7.04</v>
      </c>
      <c r="C129" s="2">
        <f t="shared" si="37"/>
        <v>3.0410000000000004</v>
      </c>
      <c r="D129">
        <f t="shared" si="38"/>
        <v>1.1095600000000001</v>
      </c>
      <c r="E129">
        <f t="shared" si="39"/>
        <v>3063807500.0000005</v>
      </c>
      <c r="F129">
        <f t="shared" si="40"/>
        <v>1615519360.0000002</v>
      </c>
      <c r="G129">
        <f t="shared" si="41"/>
        <v>149.75575000000006</v>
      </c>
      <c r="H129">
        <f t="shared" si="42"/>
        <v>54.742059999999981</v>
      </c>
      <c r="I129">
        <f t="shared" si="43"/>
        <v>102.24890500000002</v>
      </c>
      <c r="J129">
        <f t="shared" si="44"/>
        <v>150878918125</v>
      </c>
      <c r="K129">
        <f t="shared" si="45"/>
        <v>79704439360</v>
      </c>
      <c r="L129">
        <f t="shared" si="46"/>
        <v>115291678742.5</v>
      </c>
      <c r="M129" s="1">
        <v>38874.121527777781</v>
      </c>
      <c r="N129">
        <f t="shared" si="48"/>
        <v>44700.000000488944</v>
      </c>
      <c r="O129">
        <f t="shared" si="49"/>
        <v>2194883.8350017909</v>
      </c>
      <c r="P129">
        <f t="shared" si="50"/>
        <v>801945.8532006531</v>
      </c>
      <c r="Q129">
        <f t="shared" si="51"/>
        <v>1498414.844101222</v>
      </c>
      <c r="R129">
        <f t="shared" si="52"/>
        <v>1167633162260150.5</v>
      </c>
      <c r="S129">
        <f t="shared" si="53"/>
        <v>202022060.82004893</v>
      </c>
      <c r="T129">
        <f t="shared" si="54"/>
        <v>583816682141105.63</v>
      </c>
    </row>
    <row r="130" spans="1:20" x14ac:dyDescent="0.35">
      <c r="A130" s="1">
        <v>38874.635416666664</v>
      </c>
      <c r="B130">
        <v>11.260999999999999</v>
      </c>
      <c r="C130" s="2">
        <f t="shared" si="37"/>
        <v>4.9404500000000002</v>
      </c>
      <c r="D130">
        <f t="shared" si="38"/>
        <v>1.801804</v>
      </c>
      <c r="E130">
        <f t="shared" si="39"/>
        <v>4977503375</v>
      </c>
      <c r="F130">
        <f t="shared" si="40"/>
        <v>2623426623.9999995</v>
      </c>
      <c r="G130">
        <f t="shared" si="41"/>
        <v>154.69620000000006</v>
      </c>
      <c r="H130">
        <f t="shared" si="42"/>
        <v>56.543863999999978</v>
      </c>
      <c r="I130">
        <f t="shared" si="43"/>
        <v>105.62003200000002</v>
      </c>
      <c r="J130">
        <f t="shared" si="44"/>
        <v>155856421500</v>
      </c>
      <c r="K130">
        <f t="shared" si="45"/>
        <v>82327865984</v>
      </c>
      <c r="L130">
        <f t="shared" si="46"/>
        <v>119092143742</v>
      </c>
      <c r="M130" s="1">
        <v>38874.635416666664</v>
      </c>
      <c r="N130">
        <f t="shared" si="48"/>
        <v>44399.999999511056</v>
      </c>
      <c r="O130">
        <f t="shared" si="49"/>
        <v>2414239.8149993755</v>
      </c>
      <c r="P130">
        <f t="shared" si="50"/>
        <v>881945.95079977217</v>
      </c>
      <c r="Q130">
        <f t="shared" si="51"/>
        <v>1648092.8828995738</v>
      </c>
      <c r="R130">
        <f t="shared" si="52"/>
        <v>1284113304364467.8</v>
      </c>
      <c r="S130">
        <f t="shared" si="53"/>
        <v>208890572.09997329</v>
      </c>
      <c r="T130">
        <f t="shared" si="54"/>
        <v>642056756627519.88</v>
      </c>
    </row>
    <row r="131" spans="1:20" x14ac:dyDescent="0.35">
      <c r="A131" s="1">
        <v>38876.114583333336</v>
      </c>
      <c r="B131">
        <v>2.9780000000000002</v>
      </c>
      <c r="C131" s="2">
        <f t="shared" si="37"/>
        <v>1.2131000000000001</v>
      </c>
      <c r="D131">
        <f t="shared" si="38"/>
        <v>0.44339200000000006</v>
      </c>
      <c r="E131">
        <f t="shared" si="39"/>
        <v>1222198250.0000002</v>
      </c>
      <c r="F131">
        <f t="shared" si="40"/>
        <v>645578752.00000012</v>
      </c>
      <c r="G131">
        <f t="shared" si="41"/>
        <v>155.90930000000006</v>
      </c>
      <c r="H131">
        <f t="shared" si="42"/>
        <v>56.987255999999981</v>
      </c>
      <c r="I131">
        <f t="shared" si="43"/>
        <v>106.44827800000002</v>
      </c>
      <c r="J131">
        <f t="shared" si="44"/>
        <v>157078619750</v>
      </c>
      <c r="K131">
        <f t="shared" si="45"/>
        <v>82973444736</v>
      </c>
      <c r="L131">
        <f t="shared" si="46"/>
        <v>120026032243</v>
      </c>
      <c r="M131" s="1">
        <v>38876.114583333336</v>
      </c>
      <c r="N131">
        <f>(A131-A130)*24*60*60</f>
        <v>127800.0000004191</v>
      </c>
      <c r="O131">
        <f t="shared" si="49"/>
        <v>2569273.9949998837</v>
      </c>
      <c r="P131">
        <f t="shared" si="50"/>
        <v>938611.44839995797</v>
      </c>
      <c r="Q131">
        <f t="shared" si="51"/>
        <v>1753942.7216999209</v>
      </c>
      <c r="R131">
        <f t="shared" si="52"/>
        <v>1366618268870338.3</v>
      </c>
      <c r="S131">
        <f t="shared" si="53"/>
        <v>228815780.64003864</v>
      </c>
      <c r="T131">
        <f t="shared" si="54"/>
        <v>683309248843059.5</v>
      </c>
    </row>
    <row r="132" spans="1:20" x14ac:dyDescent="0.35">
      <c r="A132" s="1">
        <v>38876.625</v>
      </c>
      <c r="B132">
        <v>2.4550000000000001</v>
      </c>
      <c r="C132" s="2">
        <f t="shared" ref="C132:C195" si="55">(0.45*B132)-0.127</f>
        <v>0.97775000000000012</v>
      </c>
      <c r="D132">
        <f t="shared" ref="D132:D195" si="56">(0.164*B132)-0.045</f>
        <v>0.35762000000000005</v>
      </c>
      <c r="E132">
        <f t="shared" ref="E132:E195" si="57">C132*2600*(1150*200+350000*0.45)</f>
        <v>985083125</v>
      </c>
      <c r="F132">
        <f t="shared" ref="F132:F195" si="58">D132*2600*(1150*350+350000*0.45)</f>
        <v>520694720.00000006</v>
      </c>
      <c r="G132">
        <f t="shared" ref="G132:G195" si="59">C132+G131</f>
        <v>156.88705000000004</v>
      </c>
      <c r="H132">
        <f t="shared" ref="H132:H195" si="60">D132+H131</f>
        <v>57.344875999999978</v>
      </c>
      <c r="I132">
        <f t="shared" ref="I132:I195" si="61">(G132+H132)/2</f>
        <v>107.11596300000001</v>
      </c>
      <c r="J132">
        <f t="shared" ref="J132:J195" si="62">E132+J131</f>
        <v>158063702875</v>
      </c>
      <c r="K132">
        <f t="shared" ref="K132:K195" si="63">F132+K131</f>
        <v>83494139456</v>
      </c>
      <c r="L132">
        <f t="shared" ref="L132:L195" si="64">(J132+K132)/2</f>
        <v>120778921165.5</v>
      </c>
      <c r="M132" s="1">
        <v>38876.625</v>
      </c>
      <c r="N132">
        <f t="shared" si="48"/>
        <v>44099.999999790452</v>
      </c>
      <c r="O132">
        <f t="shared" si="49"/>
        <v>2612392.7699996787</v>
      </c>
      <c r="P132">
        <f t="shared" si="50"/>
        <v>954382.49039988301</v>
      </c>
      <c r="Q132">
        <f t="shared" si="51"/>
        <v>1783387.6301997809</v>
      </c>
      <c r="R132">
        <f t="shared" si="52"/>
        <v>1389580906022229.3</v>
      </c>
      <c r="S132">
        <f t="shared" si="53"/>
        <v>235734499.54500577</v>
      </c>
      <c r="T132">
        <f t="shared" si="54"/>
        <v>694790570878364.38</v>
      </c>
    </row>
    <row r="133" spans="1:20" x14ac:dyDescent="0.35">
      <c r="A133" s="1">
        <v>38876.75</v>
      </c>
      <c r="B133">
        <v>3.2749999999999999</v>
      </c>
      <c r="C133" s="2">
        <f t="shared" si="55"/>
        <v>1.3467499999999999</v>
      </c>
      <c r="D133">
        <f t="shared" si="56"/>
        <v>0.49210000000000004</v>
      </c>
      <c r="E133">
        <f t="shared" si="57"/>
        <v>1356850625</v>
      </c>
      <c r="F133">
        <f t="shared" si="58"/>
        <v>716497600</v>
      </c>
      <c r="G133">
        <f t="shared" si="59"/>
        <v>158.23380000000003</v>
      </c>
      <c r="H133">
        <f t="shared" si="60"/>
        <v>57.836975999999979</v>
      </c>
      <c r="I133">
        <f t="shared" si="61"/>
        <v>108.03538800000001</v>
      </c>
      <c r="J133">
        <f t="shared" si="62"/>
        <v>159420553500</v>
      </c>
      <c r="K133">
        <f t="shared" si="63"/>
        <v>84210637056</v>
      </c>
      <c r="L133">
        <f t="shared" si="64"/>
        <v>121815595278</v>
      </c>
      <c r="M133" s="1">
        <v>38876.75</v>
      </c>
      <c r="N133">
        <f t="shared" si="48"/>
        <v>10800</v>
      </c>
      <c r="O133">
        <f t="shared" si="49"/>
        <v>2626937.6699996786</v>
      </c>
      <c r="P133">
        <f t="shared" si="50"/>
        <v>959697.17039988306</v>
      </c>
      <c r="Q133">
        <f t="shared" si="51"/>
        <v>1793317.4201997807</v>
      </c>
      <c r="R133">
        <f t="shared" si="52"/>
        <v>1397319080102229.3</v>
      </c>
      <c r="S133">
        <f t="shared" si="53"/>
        <v>237443424.58500576</v>
      </c>
      <c r="T133">
        <f t="shared" si="54"/>
        <v>698659658772826.88</v>
      </c>
    </row>
    <row r="134" spans="1:20" x14ac:dyDescent="0.35">
      <c r="A134" s="1">
        <v>38877.263888888891</v>
      </c>
      <c r="B134">
        <v>3.1349999999999998</v>
      </c>
      <c r="C134" s="2">
        <f t="shared" si="55"/>
        <v>1.2837499999999999</v>
      </c>
      <c r="D134">
        <f t="shared" si="56"/>
        <v>0.46914000000000006</v>
      </c>
      <c r="E134">
        <f t="shared" si="57"/>
        <v>1293378125</v>
      </c>
      <c r="F134">
        <f t="shared" si="58"/>
        <v>683067840.00000012</v>
      </c>
      <c r="G134">
        <f t="shared" si="59"/>
        <v>159.51755000000003</v>
      </c>
      <c r="H134">
        <f t="shared" si="60"/>
        <v>58.306115999999982</v>
      </c>
      <c r="I134">
        <f t="shared" si="61"/>
        <v>108.911833</v>
      </c>
      <c r="J134">
        <f t="shared" si="62"/>
        <v>160713931625</v>
      </c>
      <c r="K134">
        <f t="shared" si="63"/>
        <v>84893704896</v>
      </c>
      <c r="L134">
        <f t="shared" si="64"/>
        <v>122803818260.5</v>
      </c>
      <c r="M134" s="1">
        <v>38877.263888888891</v>
      </c>
      <c r="N134">
        <f t="shared" si="48"/>
        <v>44400.000000139698</v>
      </c>
      <c r="O134">
        <f t="shared" si="49"/>
        <v>2683936.1699998579</v>
      </c>
      <c r="P134">
        <f t="shared" si="50"/>
        <v>980526.9863999486</v>
      </c>
      <c r="Q134">
        <f t="shared" si="51"/>
        <v>1832231.5781999032</v>
      </c>
      <c r="R134">
        <f t="shared" si="52"/>
        <v>1427647292198324.8</v>
      </c>
      <c r="S134">
        <f t="shared" si="53"/>
        <v>244526003.80502805</v>
      </c>
      <c r="T134">
        <f t="shared" si="54"/>
        <v>713823768362164.25</v>
      </c>
    </row>
    <row r="135" spans="1:20" x14ac:dyDescent="0.35">
      <c r="A135" s="1">
        <v>38877.65625</v>
      </c>
      <c r="B135">
        <v>0.46700000000000003</v>
      </c>
      <c r="C135" s="2">
        <f t="shared" si="55"/>
        <v>8.3150000000000002E-2</v>
      </c>
      <c r="D135">
        <f t="shared" si="56"/>
        <v>3.1588000000000005E-2</v>
      </c>
      <c r="E135">
        <f t="shared" si="57"/>
        <v>83773625</v>
      </c>
      <c r="F135">
        <f t="shared" si="58"/>
        <v>45992128.000000007</v>
      </c>
      <c r="G135">
        <f t="shared" si="59"/>
        <v>159.60070000000002</v>
      </c>
      <c r="H135">
        <f t="shared" si="60"/>
        <v>58.337703999999981</v>
      </c>
      <c r="I135">
        <f t="shared" si="61"/>
        <v>108.969202</v>
      </c>
      <c r="J135">
        <f t="shared" si="62"/>
        <v>160797705250</v>
      </c>
      <c r="K135">
        <f t="shared" si="63"/>
        <v>84939697024</v>
      </c>
      <c r="L135">
        <f t="shared" si="64"/>
        <v>122868701137</v>
      </c>
      <c r="M135" s="1">
        <v>38877.65625</v>
      </c>
      <c r="N135">
        <f t="shared" si="48"/>
        <v>33899.999999860302</v>
      </c>
      <c r="O135">
        <f t="shared" si="49"/>
        <v>2686754.9549998464</v>
      </c>
      <c r="P135">
        <f t="shared" si="50"/>
        <v>981597.81959994417</v>
      </c>
      <c r="Q135">
        <f t="shared" si="51"/>
        <v>1834176.3872998953</v>
      </c>
      <c r="R135">
        <f t="shared" si="52"/>
        <v>1429206425337518.3</v>
      </c>
      <c r="S135">
        <f t="shared" si="53"/>
        <v>249936467.53500575</v>
      </c>
      <c r="T135">
        <f t="shared" si="54"/>
        <v>714603337636992.88</v>
      </c>
    </row>
    <row r="136" spans="1:20" x14ac:dyDescent="0.35">
      <c r="A136" s="1">
        <v>38877.78125</v>
      </c>
      <c r="B136">
        <v>0.84399999999999997</v>
      </c>
      <c r="C136" s="2">
        <f t="shared" si="55"/>
        <v>0.25279999999999997</v>
      </c>
      <c r="D136">
        <f t="shared" si="56"/>
        <v>9.3416000000000013E-2</v>
      </c>
      <c r="E136">
        <f t="shared" si="57"/>
        <v>254696000</v>
      </c>
      <c r="F136">
        <f t="shared" si="58"/>
        <v>136013696</v>
      </c>
      <c r="G136">
        <f t="shared" si="59"/>
        <v>159.85350000000003</v>
      </c>
      <c r="H136">
        <f t="shared" si="60"/>
        <v>58.431119999999979</v>
      </c>
      <c r="I136">
        <f t="shared" si="61"/>
        <v>109.14231000000001</v>
      </c>
      <c r="J136">
        <f t="shared" si="62"/>
        <v>161052401250</v>
      </c>
      <c r="K136">
        <f t="shared" si="63"/>
        <v>85075710720</v>
      </c>
      <c r="L136">
        <f t="shared" si="64"/>
        <v>123064055985</v>
      </c>
      <c r="M136" s="1">
        <v>38877.78125</v>
      </c>
      <c r="N136">
        <f t="shared" si="48"/>
        <v>10800</v>
      </c>
      <c r="O136">
        <f t="shared" si="49"/>
        <v>2689485.1949998466</v>
      </c>
      <c r="P136">
        <f t="shared" si="50"/>
        <v>982606.7123999442</v>
      </c>
      <c r="Q136">
        <f t="shared" si="51"/>
        <v>1836045.9536998954</v>
      </c>
      <c r="R136">
        <f t="shared" si="52"/>
        <v>1430675373254318.3</v>
      </c>
      <c r="S136">
        <f t="shared" si="53"/>
        <v>251662885.33500576</v>
      </c>
      <c r="T136">
        <f t="shared" si="54"/>
        <v>715337812458601.75</v>
      </c>
    </row>
    <row r="137" spans="1:20" x14ac:dyDescent="0.35">
      <c r="A137" s="1">
        <v>38878.618055555555</v>
      </c>
      <c r="B137">
        <v>2.677</v>
      </c>
      <c r="C137" s="2">
        <f t="shared" si="55"/>
        <v>1.07765</v>
      </c>
      <c r="D137">
        <f t="shared" si="56"/>
        <v>0.39402800000000004</v>
      </c>
      <c r="E137">
        <f t="shared" si="57"/>
        <v>1085732375</v>
      </c>
      <c r="F137">
        <f t="shared" si="58"/>
        <v>573704768</v>
      </c>
      <c r="G137">
        <f t="shared" si="59"/>
        <v>160.93115000000003</v>
      </c>
      <c r="H137">
        <f t="shared" si="60"/>
        <v>58.825147999999977</v>
      </c>
      <c r="I137">
        <f t="shared" si="61"/>
        <v>109.87814900000001</v>
      </c>
      <c r="J137">
        <f t="shared" si="62"/>
        <v>162138133625</v>
      </c>
      <c r="K137">
        <f t="shared" si="63"/>
        <v>85649415488</v>
      </c>
      <c r="L137">
        <f t="shared" si="64"/>
        <v>123893774556.5</v>
      </c>
      <c r="M137" s="1">
        <v>38878.618055555555</v>
      </c>
      <c r="N137">
        <f t="shared" si="48"/>
        <v>72299.999999930151</v>
      </c>
      <c r="O137">
        <f t="shared" si="49"/>
        <v>2767399.2899997714</v>
      </c>
      <c r="P137">
        <f t="shared" si="50"/>
        <v>1011094.9367999167</v>
      </c>
      <c r="Q137">
        <f t="shared" si="51"/>
        <v>1889247.1133998442</v>
      </c>
      <c r="R137">
        <f t="shared" si="52"/>
        <v>1472154227980678.3</v>
      </c>
      <c r="S137">
        <f t="shared" si="53"/>
        <v>263298207.47999454</v>
      </c>
      <c r="T137">
        <f t="shared" si="54"/>
        <v>736077245639442.88</v>
      </c>
    </row>
    <row r="138" spans="1:20" x14ac:dyDescent="0.35">
      <c r="A138" s="1">
        <v>38878.743055555555</v>
      </c>
      <c r="B138">
        <v>2.25</v>
      </c>
      <c r="C138" s="2">
        <f t="shared" si="55"/>
        <v>0.88549999999999995</v>
      </c>
      <c r="D138">
        <f t="shared" si="56"/>
        <v>0.32400000000000001</v>
      </c>
      <c r="E138">
        <f t="shared" si="57"/>
        <v>892141249.99999988</v>
      </c>
      <c r="F138">
        <f t="shared" si="58"/>
        <v>471744000</v>
      </c>
      <c r="G138">
        <f t="shared" si="59"/>
        <v>161.81665000000004</v>
      </c>
      <c r="H138">
        <f t="shared" si="60"/>
        <v>59.149147999999975</v>
      </c>
      <c r="I138">
        <f t="shared" si="61"/>
        <v>110.482899</v>
      </c>
      <c r="J138">
        <f t="shared" si="62"/>
        <v>163030274875</v>
      </c>
      <c r="K138">
        <f t="shared" si="63"/>
        <v>86121159488</v>
      </c>
      <c r="L138">
        <f t="shared" si="64"/>
        <v>124575717181.5</v>
      </c>
      <c r="M138" s="1">
        <v>38878.743055555555</v>
      </c>
      <c r="N138">
        <f t="shared" si="48"/>
        <v>10800</v>
      </c>
      <c r="O138">
        <f t="shared" si="49"/>
        <v>2776962.6899997713</v>
      </c>
      <c r="P138">
        <f t="shared" si="50"/>
        <v>1014594.1367999166</v>
      </c>
      <c r="Q138">
        <f t="shared" si="51"/>
        <v>1895778.413399844</v>
      </c>
      <c r="R138">
        <f t="shared" si="52"/>
        <v>1477249063180678.3</v>
      </c>
      <c r="S138">
        <f t="shared" si="53"/>
        <v>265045827.29999453</v>
      </c>
      <c r="T138">
        <f t="shared" si="54"/>
        <v>738624664113252.75</v>
      </c>
    </row>
    <row r="139" spans="1:20" x14ac:dyDescent="0.35">
      <c r="A139" s="1">
        <v>38879.135416666664</v>
      </c>
      <c r="B139">
        <v>3.3210000000000002</v>
      </c>
      <c r="C139" s="2">
        <f t="shared" si="55"/>
        <v>1.3674500000000001</v>
      </c>
      <c r="D139">
        <f t="shared" si="56"/>
        <v>0.49964400000000003</v>
      </c>
      <c r="E139">
        <f t="shared" si="57"/>
        <v>1377705875.0000002</v>
      </c>
      <c r="F139">
        <f t="shared" si="58"/>
        <v>727481664.00000012</v>
      </c>
      <c r="G139">
        <f t="shared" si="59"/>
        <v>163.18410000000003</v>
      </c>
      <c r="H139">
        <f t="shared" si="60"/>
        <v>59.648791999999979</v>
      </c>
      <c r="I139">
        <f t="shared" si="61"/>
        <v>111.41644600000001</v>
      </c>
      <c r="J139">
        <f t="shared" si="62"/>
        <v>164407980750</v>
      </c>
      <c r="K139">
        <f t="shared" si="63"/>
        <v>86848641152</v>
      </c>
      <c r="L139">
        <f t="shared" si="64"/>
        <v>125628310951</v>
      </c>
      <c r="M139" s="1">
        <v>38879.135416666664</v>
      </c>
      <c r="N139">
        <f t="shared" si="48"/>
        <v>33899.999999860302</v>
      </c>
      <c r="O139">
        <f t="shared" si="49"/>
        <v>2823319.2449995801</v>
      </c>
      <c r="P139">
        <f t="shared" si="50"/>
        <v>1031532.0683998468</v>
      </c>
      <c r="Q139">
        <f t="shared" si="51"/>
        <v>1927425.6566997133</v>
      </c>
      <c r="R139">
        <f t="shared" si="52"/>
        <v>1501910691590176.5</v>
      </c>
      <c r="S139">
        <f t="shared" si="53"/>
        <v>270577768.28997171</v>
      </c>
      <c r="T139">
        <f t="shared" si="54"/>
        <v>750955481083972.38</v>
      </c>
    </row>
    <row r="140" spans="1:20" x14ac:dyDescent="0.35">
      <c r="A140" s="1">
        <v>38879.645833333336</v>
      </c>
      <c r="B140">
        <v>1.0029999999999999</v>
      </c>
      <c r="C140" s="2">
        <f t="shared" si="55"/>
        <v>0.32434999999999997</v>
      </c>
      <c r="D140">
        <f t="shared" si="56"/>
        <v>0.119492</v>
      </c>
      <c r="E140">
        <f t="shared" si="57"/>
        <v>326782625</v>
      </c>
      <c r="F140">
        <f t="shared" si="58"/>
        <v>173980352</v>
      </c>
      <c r="G140">
        <f t="shared" si="59"/>
        <v>163.50845000000004</v>
      </c>
      <c r="H140">
        <f t="shared" si="60"/>
        <v>59.76828399999998</v>
      </c>
      <c r="I140">
        <f t="shared" si="61"/>
        <v>111.63836700000002</v>
      </c>
      <c r="J140">
        <f t="shared" si="62"/>
        <v>164734763375</v>
      </c>
      <c r="K140">
        <f t="shared" si="63"/>
        <v>87022621504</v>
      </c>
      <c r="L140">
        <f t="shared" si="64"/>
        <v>125878692439.5</v>
      </c>
      <c r="M140" s="1">
        <v>38879.645833333336</v>
      </c>
      <c r="N140">
        <f t="shared" si="48"/>
        <v>44100.000000419095</v>
      </c>
      <c r="O140">
        <f t="shared" si="49"/>
        <v>2837623.079999716</v>
      </c>
      <c r="P140">
        <f t="shared" si="50"/>
        <v>1036801.6655998969</v>
      </c>
      <c r="Q140">
        <f t="shared" si="51"/>
        <v>1937212.3727998065</v>
      </c>
      <c r="R140">
        <f t="shared" si="52"/>
        <v>1509583225113449.5</v>
      </c>
      <c r="S140">
        <f t="shared" si="53"/>
        <v>277788490.93504024</v>
      </c>
      <c r="T140">
        <f t="shared" si="54"/>
        <v>754791751450970.25</v>
      </c>
    </row>
    <row r="141" spans="1:20" x14ac:dyDescent="0.35">
      <c r="A141" s="1">
        <v>38882.725694444445</v>
      </c>
      <c r="B141">
        <v>1.6950000000000001</v>
      </c>
      <c r="C141" s="2">
        <f t="shared" si="55"/>
        <v>0.63575000000000004</v>
      </c>
      <c r="D141">
        <f t="shared" si="56"/>
        <v>0.23298000000000002</v>
      </c>
      <c r="E141">
        <f t="shared" si="57"/>
        <v>640518125</v>
      </c>
      <c r="F141">
        <f t="shared" si="58"/>
        <v>339218880</v>
      </c>
      <c r="G141">
        <f t="shared" si="59"/>
        <v>164.14420000000004</v>
      </c>
      <c r="H141">
        <f t="shared" si="60"/>
        <v>60.001263999999978</v>
      </c>
      <c r="I141">
        <f t="shared" si="61"/>
        <v>112.072732</v>
      </c>
      <c r="J141">
        <f t="shared" si="62"/>
        <v>165375281500</v>
      </c>
      <c r="K141">
        <f t="shared" si="63"/>
        <v>87361840384</v>
      </c>
      <c r="L141">
        <f t="shared" si="64"/>
        <v>126368560942</v>
      </c>
      <c r="M141" s="1">
        <v>38882.725694444445</v>
      </c>
      <c r="N141">
        <f t="shared" si="48"/>
        <v>266099.9999998603</v>
      </c>
      <c r="O141">
        <f t="shared" si="49"/>
        <v>3006796.1549996273</v>
      </c>
      <c r="P141">
        <f t="shared" si="50"/>
        <v>1098797.6435998643</v>
      </c>
      <c r="Q141">
        <f t="shared" si="51"/>
        <v>2052796.8992997459</v>
      </c>
      <c r="R141">
        <f t="shared" si="52"/>
        <v>1599849369081402</v>
      </c>
      <c r="S141">
        <f t="shared" si="53"/>
        <v>321467262.55501729</v>
      </c>
      <c r="T141">
        <f t="shared" si="54"/>
        <v>799924845274332.25</v>
      </c>
    </row>
    <row r="142" spans="1:20" x14ac:dyDescent="0.35">
      <c r="A142" s="1">
        <v>38883.118055555555</v>
      </c>
      <c r="B142">
        <v>4.3479999999999999</v>
      </c>
      <c r="C142" s="2">
        <f t="shared" si="55"/>
        <v>1.8295999999999999</v>
      </c>
      <c r="D142">
        <f t="shared" si="56"/>
        <v>0.668072</v>
      </c>
      <c r="E142">
        <f t="shared" si="57"/>
        <v>1843322000</v>
      </c>
      <c r="F142">
        <f t="shared" si="58"/>
        <v>972712832</v>
      </c>
      <c r="G142">
        <f t="shared" si="59"/>
        <v>165.97380000000004</v>
      </c>
      <c r="H142">
        <f t="shared" si="60"/>
        <v>60.66933599999998</v>
      </c>
      <c r="I142">
        <f t="shared" si="61"/>
        <v>113.32156800000001</v>
      </c>
      <c r="J142">
        <f t="shared" si="62"/>
        <v>167218603500</v>
      </c>
      <c r="K142">
        <f t="shared" si="63"/>
        <v>88334553216</v>
      </c>
      <c r="L142">
        <f t="shared" si="64"/>
        <v>127776578358</v>
      </c>
      <c r="M142" s="1">
        <v>38883.118055555555</v>
      </c>
      <c r="N142">
        <f t="shared" si="48"/>
        <v>33899.999999860302</v>
      </c>
      <c r="O142">
        <f t="shared" si="49"/>
        <v>3068819.5949993716</v>
      </c>
      <c r="P142">
        <f t="shared" si="50"/>
        <v>1121445.2843997709</v>
      </c>
      <c r="Q142">
        <f t="shared" si="51"/>
        <v>2095132.4396995711</v>
      </c>
      <c r="R142">
        <f t="shared" si="52"/>
        <v>1632824334086066</v>
      </c>
      <c r="S142">
        <f t="shared" si="53"/>
        <v>327093774.3749941</v>
      </c>
      <c r="T142">
        <f t="shared" si="54"/>
        <v>816412330589920.25</v>
      </c>
    </row>
    <row r="143" spans="1:20" x14ac:dyDescent="0.35">
      <c r="A143" s="1">
        <v>38883.631944444445</v>
      </c>
      <c r="B143">
        <v>6.3019999999999996</v>
      </c>
      <c r="C143" s="2">
        <f t="shared" si="55"/>
        <v>2.7088999999999999</v>
      </c>
      <c r="D143">
        <f t="shared" si="56"/>
        <v>0.98852799999999996</v>
      </c>
      <c r="E143">
        <f t="shared" si="57"/>
        <v>2729216750</v>
      </c>
      <c r="F143">
        <f t="shared" si="58"/>
        <v>1439296768</v>
      </c>
      <c r="G143">
        <f t="shared" si="59"/>
        <v>168.68270000000004</v>
      </c>
      <c r="H143">
        <f t="shared" si="60"/>
        <v>61.657863999999982</v>
      </c>
      <c r="I143">
        <f t="shared" si="61"/>
        <v>115.17028200000001</v>
      </c>
      <c r="J143">
        <f t="shared" si="62"/>
        <v>169947820250</v>
      </c>
      <c r="K143">
        <f t="shared" si="63"/>
        <v>89773849984</v>
      </c>
      <c r="L143">
        <f t="shared" si="64"/>
        <v>129860835117</v>
      </c>
      <c r="M143" s="1">
        <v>38883.631944444445</v>
      </c>
      <c r="N143">
        <f t="shared" si="48"/>
        <v>44400.000000139698</v>
      </c>
      <c r="O143">
        <f t="shared" si="49"/>
        <v>3189094.7549997498</v>
      </c>
      <c r="P143">
        <f t="shared" si="50"/>
        <v>1165335.927599909</v>
      </c>
      <c r="Q143">
        <f t="shared" si="51"/>
        <v>2177215.3412998295</v>
      </c>
      <c r="R143">
        <f t="shared" si="52"/>
        <v>1696729110585467</v>
      </c>
      <c r="S143">
        <f t="shared" si="53"/>
        <v>334583286.25501764</v>
      </c>
      <c r="T143">
        <f t="shared" si="54"/>
        <v>848364722584376.63</v>
      </c>
    </row>
    <row r="144" spans="1:20" x14ac:dyDescent="0.35">
      <c r="A144" s="1">
        <v>38883.753472222219</v>
      </c>
      <c r="B144">
        <v>6.1349999999999998</v>
      </c>
      <c r="C144" s="2">
        <f t="shared" si="55"/>
        <v>2.63375</v>
      </c>
      <c r="D144">
        <f t="shared" si="56"/>
        <v>0.96113999999999999</v>
      </c>
      <c r="E144">
        <f t="shared" si="57"/>
        <v>2653503125</v>
      </c>
      <c r="F144">
        <f t="shared" si="58"/>
        <v>1399419840</v>
      </c>
      <c r="G144">
        <f t="shared" si="59"/>
        <v>171.31645000000003</v>
      </c>
      <c r="H144">
        <f t="shared" si="60"/>
        <v>62.619003999999983</v>
      </c>
      <c r="I144">
        <f t="shared" si="61"/>
        <v>116.96772700000001</v>
      </c>
      <c r="J144">
        <f t="shared" si="62"/>
        <v>172601323375</v>
      </c>
      <c r="K144">
        <f t="shared" si="63"/>
        <v>91173269824</v>
      </c>
      <c r="L144">
        <f t="shared" si="64"/>
        <v>131887296599.5</v>
      </c>
      <c r="M144" s="1">
        <v>38883.753472222219</v>
      </c>
      <c r="N144">
        <f t="shared" si="48"/>
        <v>10499.999999650754</v>
      </c>
      <c r="O144">
        <f t="shared" si="49"/>
        <v>3216749.1299988301</v>
      </c>
      <c r="P144">
        <f t="shared" si="50"/>
        <v>1175427.8975995732</v>
      </c>
      <c r="Q144">
        <f t="shared" si="51"/>
        <v>2196088.5137992017</v>
      </c>
      <c r="R144">
        <f t="shared" si="52"/>
        <v>1711423018904978.3</v>
      </c>
      <c r="S144">
        <f t="shared" si="53"/>
        <v>336382108.97995782</v>
      </c>
      <c r="T144">
        <f t="shared" si="54"/>
        <v>855711677643543.63</v>
      </c>
    </row>
    <row r="145" spans="1:12" x14ac:dyDescent="0.35">
      <c r="A145" s="1">
        <v>38885.621527777781</v>
      </c>
      <c r="B145">
        <v>5.29</v>
      </c>
      <c r="C145" s="2">
        <f t="shared" si="55"/>
        <v>2.2534999999999998</v>
      </c>
      <c r="D145">
        <f t="shared" si="56"/>
        <v>0.82255999999999996</v>
      </c>
      <c r="E145">
        <f t="shared" si="57"/>
        <v>2270401250</v>
      </c>
      <c r="F145">
        <f t="shared" si="58"/>
        <v>1197647360</v>
      </c>
      <c r="G145">
        <f t="shared" si="59"/>
        <v>173.56995000000003</v>
      </c>
      <c r="H145">
        <f t="shared" si="60"/>
        <v>63.441563999999985</v>
      </c>
      <c r="I145">
        <f t="shared" si="61"/>
        <v>118.50575700000002</v>
      </c>
      <c r="J145">
        <f t="shared" si="62"/>
        <v>174871724625</v>
      </c>
      <c r="K145">
        <f t="shared" si="63"/>
        <v>92370917184</v>
      </c>
      <c r="L145">
        <f t="shared" si="64"/>
        <v>133621320904.5</v>
      </c>
    </row>
    <row r="146" spans="1:12" x14ac:dyDescent="0.35">
      <c r="A146" s="1">
        <v>38885.746527777781</v>
      </c>
      <c r="B146">
        <v>3.6480000000000001</v>
      </c>
      <c r="C146" s="2">
        <f t="shared" si="55"/>
        <v>1.5146000000000002</v>
      </c>
      <c r="D146">
        <f t="shared" si="56"/>
        <v>0.55327199999999999</v>
      </c>
      <c r="E146">
        <f t="shared" si="57"/>
        <v>1525959500.0000002</v>
      </c>
      <c r="F146">
        <f t="shared" si="58"/>
        <v>805564032</v>
      </c>
      <c r="G146">
        <f t="shared" si="59"/>
        <v>175.08455000000004</v>
      </c>
      <c r="H146">
        <f t="shared" si="60"/>
        <v>63.994835999999985</v>
      </c>
      <c r="I146">
        <f t="shared" si="61"/>
        <v>119.53969300000001</v>
      </c>
      <c r="J146">
        <f t="shared" si="62"/>
        <v>176397684125</v>
      </c>
      <c r="K146">
        <f t="shared" si="63"/>
        <v>93176481216</v>
      </c>
      <c r="L146">
        <f t="shared" si="64"/>
        <v>134787082670.5</v>
      </c>
    </row>
    <row r="147" spans="1:12" x14ac:dyDescent="0.35">
      <c r="A147" s="1">
        <v>38887.614583333336</v>
      </c>
      <c r="B147">
        <v>1.343</v>
      </c>
      <c r="C147" s="2">
        <f t="shared" si="55"/>
        <v>0.47735000000000005</v>
      </c>
      <c r="D147">
        <f t="shared" si="56"/>
        <v>0.17525200000000002</v>
      </c>
      <c r="E147">
        <f t="shared" si="57"/>
        <v>480930125.00000006</v>
      </c>
      <c r="F147">
        <f t="shared" si="58"/>
        <v>255166912.00000003</v>
      </c>
      <c r="G147">
        <f t="shared" si="59"/>
        <v>175.56190000000004</v>
      </c>
      <c r="H147">
        <f t="shared" si="60"/>
        <v>64.170087999999978</v>
      </c>
      <c r="I147">
        <f t="shared" si="61"/>
        <v>119.865994</v>
      </c>
      <c r="J147">
        <f t="shared" si="62"/>
        <v>176878614250</v>
      </c>
      <c r="K147">
        <f t="shared" si="63"/>
        <v>93431648128</v>
      </c>
      <c r="L147">
        <f t="shared" si="64"/>
        <v>135155131189</v>
      </c>
    </row>
    <row r="148" spans="1:12" x14ac:dyDescent="0.35">
      <c r="A148" s="1">
        <v>38887.739583333336</v>
      </c>
      <c r="B148">
        <v>2.714</v>
      </c>
      <c r="C148" s="2">
        <f t="shared" si="55"/>
        <v>1.0943000000000001</v>
      </c>
      <c r="D148">
        <f t="shared" si="56"/>
        <v>0.40009600000000001</v>
      </c>
      <c r="E148">
        <f t="shared" si="57"/>
        <v>1102507250</v>
      </c>
      <c r="F148">
        <f t="shared" si="58"/>
        <v>582539776</v>
      </c>
      <c r="G148">
        <f t="shared" si="59"/>
        <v>176.65620000000004</v>
      </c>
      <c r="H148">
        <f t="shared" si="60"/>
        <v>64.570183999999983</v>
      </c>
      <c r="I148">
        <f t="shared" si="61"/>
        <v>120.61319200000001</v>
      </c>
      <c r="J148">
        <f t="shared" si="62"/>
        <v>177981121500</v>
      </c>
      <c r="K148">
        <f t="shared" si="63"/>
        <v>94014187904</v>
      </c>
      <c r="L148">
        <f t="shared" si="64"/>
        <v>135997654702</v>
      </c>
    </row>
    <row r="149" spans="1:12" x14ac:dyDescent="0.35">
      <c r="A149" s="1">
        <v>38888.642361111109</v>
      </c>
      <c r="B149">
        <v>3.6609999999999996</v>
      </c>
      <c r="C149" s="2">
        <f t="shared" si="55"/>
        <v>1.5204499999999999</v>
      </c>
      <c r="D149">
        <f t="shared" si="56"/>
        <v>0.5554039999999999</v>
      </c>
      <c r="E149">
        <f t="shared" si="57"/>
        <v>1531853374.9999998</v>
      </c>
      <c r="F149">
        <f t="shared" si="58"/>
        <v>808668223.99999976</v>
      </c>
      <c r="G149">
        <f t="shared" si="59"/>
        <v>178.17665000000005</v>
      </c>
      <c r="H149">
        <f t="shared" si="60"/>
        <v>65.125587999999979</v>
      </c>
      <c r="I149">
        <f t="shared" si="61"/>
        <v>121.65111900000002</v>
      </c>
      <c r="J149">
        <f t="shared" si="62"/>
        <v>179512974875</v>
      </c>
      <c r="K149">
        <f t="shared" si="63"/>
        <v>94822856128</v>
      </c>
      <c r="L149">
        <f t="shared" si="64"/>
        <v>137167915501.5</v>
      </c>
    </row>
    <row r="150" spans="1:12" x14ac:dyDescent="0.35">
      <c r="A150" s="1">
        <v>38890.635416666664</v>
      </c>
      <c r="B150">
        <v>6.9660000000000011</v>
      </c>
      <c r="C150" s="2">
        <f t="shared" si="55"/>
        <v>3.0077000000000007</v>
      </c>
      <c r="D150">
        <f t="shared" si="56"/>
        <v>1.0974240000000004</v>
      </c>
      <c r="E150">
        <f t="shared" si="57"/>
        <v>3030257750.000001</v>
      </c>
      <c r="F150">
        <f t="shared" si="58"/>
        <v>1597849344.0000005</v>
      </c>
      <c r="G150">
        <f t="shared" si="59"/>
        <v>181.18435000000005</v>
      </c>
      <c r="H150">
        <f t="shared" si="60"/>
        <v>66.223011999999983</v>
      </c>
      <c r="I150">
        <f t="shared" si="61"/>
        <v>123.70368100000002</v>
      </c>
      <c r="J150">
        <f t="shared" si="62"/>
        <v>182543232625</v>
      </c>
      <c r="K150">
        <f t="shared" si="63"/>
        <v>96420705472</v>
      </c>
      <c r="L150">
        <f t="shared" si="64"/>
        <v>139481969048.5</v>
      </c>
    </row>
    <row r="151" spans="1:12" x14ac:dyDescent="0.35">
      <c r="A151" s="1">
        <v>38890.760416666664</v>
      </c>
      <c r="B151">
        <v>4.9050000000000002</v>
      </c>
      <c r="C151" s="2">
        <f t="shared" si="55"/>
        <v>2.0802500000000004</v>
      </c>
      <c r="D151">
        <f t="shared" si="56"/>
        <v>0.75941999999999998</v>
      </c>
      <c r="E151">
        <f t="shared" si="57"/>
        <v>2095851875.0000002</v>
      </c>
      <c r="F151">
        <f t="shared" si="58"/>
        <v>1105715520</v>
      </c>
      <c r="G151">
        <f t="shared" si="59"/>
        <v>183.26460000000006</v>
      </c>
      <c r="H151">
        <f t="shared" si="60"/>
        <v>66.982431999999989</v>
      </c>
      <c r="I151">
        <f t="shared" si="61"/>
        <v>125.12351600000002</v>
      </c>
      <c r="J151">
        <f t="shared" si="62"/>
        <v>184639084500</v>
      </c>
      <c r="K151">
        <f t="shared" si="63"/>
        <v>97526420992</v>
      </c>
      <c r="L151">
        <f t="shared" si="64"/>
        <v>141082752746</v>
      </c>
    </row>
    <row r="152" spans="1:12" x14ac:dyDescent="0.35">
      <c r="A152" s="1">
        <v>38892.625</v>
      </c>
      <c r="B152">
        <v>1.8770000000000002</v>
      </c>
      <c r="C152" s="2">
        <f t="shared" si="55"/>
        <v>0.71765000000000012</v>
      </c>
      <c r="D152">
        <f t="shared" si="56"/>
        <v>0.26282800000000006</v>
      </c>
      <c r="E152">
        <f t="shared" si="57"/>
        <v>723032375.00000012</v>
      </c>
      <c r="F152">
        <f t="shared" si="58"/>
        <v>382677568.00000006</v>
      </c>
      <c r="G152">
        <f t="shared" si="59"/>
        <v>183.98225000000005</v>
      </c>
      <c r="H152">
        <f t="shared" si="60"/>
        <v>67.245259999999988</v>
      </c>
      <c r="I152">
        <f t="shared" si="61"/>
        <v>125.61375500000003</v>
      </c>
      <c r="J152">
        <f t="shared" si="62"/>
        <v>185362116875</v>
      </c>
      <c r="K152">
        <f t="shared" si="63"/>
        <v>97909098560</v>
      </c>
      <c r="L152">
        <f t="shared" si="64"/>
        <v>141635607717.5</v>
      </c>
    </row>
    <row r="153" spans="1:12" x14ac:dyDescent="0.35">
      <c r="A153" s="1">
        <v>38892.75</v>
      </c>
      <c r="B153">
        <v>1.107</v>
      </c>
      <c r="C153" s="2">
        <f t="shared" si="55"/>
        <v>0.37114999999999998</v>
      </c>
      <c r="D153">
        <f t="shared" si="56"/>
        <v>0.136548</v>
      </c>
      <c r="E153">
        <f t="shared" si="57"/>
        <v>373933624.99999994</v>
      </c>
      <c r="F153">
        <f t="shared" si="58"/>
        <v>198813888.00000003</v>
      </c>
      <c r="G153">
        <f t="shared" si="59"/>
        <v>184.35340000000005</v>
      </c>
      <c r="H153">
        <f t="shared" si="60"/>
        <v>67.381807999999992</v>
      </c>
      <c r="I153">
        <f t="shared" si="61"/>
        <v>125.86760400000003</v>
      </c>
      <c r="J153">
        <f t="shared" si="62"/>
        <v>185736050500</v>
      </c>
      <c r="K153">
        <f t="shared" si="63"/>
        <v>98107912448</v>
      </c>
      <c r="L153">
        <f t="shared" si="64"/>
        <v>141921981474</v>
      </c>
    </row>
    <row r="154" spans="1:12" x14ac:dyDescent="0.35">
      <c r="A154" s="1">
        <v>38894.618055555555</v>
      </c>
      <c r="B154">
        <v>0.98699999999999999</v>
      </c>
      <c r="C154" s="2">
        <f t="shared" si="55"/>
        <v>0.31714999999999999</v>
      </c>
      <c r="D154">
        <f t="shared" si="56"/>
        <v>0.11686800000000001</v>
      </c>
      <c r="E154">
        <f t="shared" si="57"/>
        <v>319528624.99999994</v>
      </c>
      <c r="F154">
        <f t="shared" si="58"/>
        <v>170159808</v>
      </c>
      <c r="G154">
        <f t="shared" si="59"/>
        <v>184.67055000000005</v>
      </c>
      <c r="H154">
        <f t="shared" si="60"/>
        <v>67.498675999999989</v>
      </c>
      <c r="I154">
        <f t="shared" si="61"/>
        <v>126.08461300000002</v>
      </c>
      <c r="J154">
        <f t="shared" si="62"/>
        <v>186055579125</v>
      </c>
      <c r="K154">
        <f t="shared" si="63"/>
        <v>98278072256</v>
      </c>
      <c r="L154">
        <f t="shared" si="64"/>
        <v>142166825690.5</v>
      </c>
    </row>
    <row r="155" spans="1:12" x14ac:dyDescent="0.35">
      <c r="A155" s="1">
        <v>38894.743055555555</v>
      </c>
      <c r="B155">
        <v>1.4990000000000001</v>
      </c>
      <c r="C155" s="2">
        <f t="shared" si="55"/>
        <v>0.54755000000000009</v>
      </c>
      <c r="D155">
        <f t="shared" si="56"/>
        <v>0.20083600000000001</v>
      </c>
      <c r="E155">
        <f t="shared" si="57"/>
        <v>551656625.00000012</v>
      </c>
      <c r="F155">
        <f t="shared" si="58"/>
        <v>292417216.00000006</v>
      </c>
      <c r="G155">
        <f t="shared" si="59"/>
        <v>185.21810000000005</v>
      </c>
      <c r="H155">
        <f t="shared" si="60"/>
        <v>67.699511999999984</v>
      </c>
      <c r="I155">
        <f t="shared" si="61"/>
        <v>126.45880600000001</v>
      </c>
      <c r="J155">
        <f t="shared" si="62"/>
        <v>186607235750</v>
      </c>
      <c r="K155">
        <f t="shared" si="63"/>
        <v>98570489472</v>
      </c>
      <c r="L155">
        <f t="shared" si="64"/>
        <v>142588862611</v>
      </c>
    </row>
    <row r="156" spans="1:12" x14ac:dyDescent="0.35">
      <c r="A156" s="1">
        <v>38895.645833333336</v>
      </c>
      <c r="B156">
        <v>2.012</v>
      </c>
      <c r="C156" s="2">
        <f t="shared" si="55"/>
        <v>0.77839999999999998</v>
      </c>
      <c r="D156">
        <f t="shared" si="56"/>
        <v>0.28496800000000005</v>
      </c>
      <c r="E156">
        <f t="shared" si="57"/>
        <v>784238000</v>
      </c>
      <c r="F156">
        <f t="shared" si="58"/>
        <v>414913408.00000012</v>
      </c>
      <c r="G156">
        <f t="shared" si="59"/>
        <v>185.99650000000005</v>
      </c>
      <c r="H156">
        <f t="shared" si="60"/>
        <v>67.984479999999991</v>
      </c>
      <c r="I156">
        <f t="shared" si="61"/>
        <v>126.99049000000002</v>
      </c>
      <c r="J156">
        <f t="shared" si="62"/>
        <v>187391473750</v>
      </c>
      <c r="K156">
        <f t="shared" si="63"/>
        <v>98985402880</v>
      </c>
      <c r="L156">
        <f t="shared" si="64"/>
        <v>143188438315</v>
      </c>
    </row>
    <row r="157" spans="1:12" x14ac:dyDescent="0.35">
      <c r="A157" s="1">
        <v>38895.770833333336</v>
      </c>
      <c r="B157">
        <v>0.79500000000000004</v>
      </c>
      <c r="C157" s="2">
        <f t="shared" si="55"/>
        <v>0.23075000000000001</v>
      </c>
      <c r="D157">
        <f t="shared" si="56"/>
        <v>8.5380000000000025E-2</v>
      </c>
      <c r="E157">
        <f t="shared" si="57"/>
        <v>232480625.00000003</v>
      </c>
      <c r="F157">
        <f t="shared" si="58"/>
        <v>124313280.00000003</v>
      </c>
      <c r="G157">
        <f t="shared" si="59"/>
        <v>186.22725000000005</v>
      </c>
      <c r="H157">
        <f t="shared" si="60"/>
        <v>68.069859999999991</v>
      </c>
      <c r="I157">
        <f t="shared" si="61"/>
        <v>127.14855500000002</v>
      </c>
      <c r="J157">
        <f t="shared" si="62"/>
        <v>187623954375</v>
      </c>
      <c r="K157">
        <f t="shared" si="63"/>
        <v>99109716160</v>
      </c>
      <c r="L157">
        <f t="shared" si="64"/>
        <v>143366835267.5</v>
      </c>
    </row>
    <row r="158" spans="1:12" x14ac:dyDescent="0.35">
      <c r="A158" s="1">
        <v>38896.607638888891</v>
      </c>
      <c r="B158">
        <v>4.3550000000000004</v>
      </c>
      <c r="C158" s="2">
        <f t="shared" si="55"/>
        <v>1.8327500000000003</v>
      </c>
      <c r="D158">
        <f t="shared" si="56"/>
        <v>0.66922000000000004</v>
      </c>
      <c r="E158">
        <f t="shared" si="57"/>
        <v>1846495625.0000002</v>
      </c>
      <c r="F158">
        <f t="shared" si="58"/>
        <v>974384320.00000012</v>
      </c>
      <c r="G158">
        <f t="shared" si="59"/>
        <v>188.06000000000006</v>
      </c>
      <c r="H158">
        <f t="shared" si="60"/>
        <v>68.739079999999987</v>
      </c>
      <c r="I158">
        <f t="shared" si="61"/>
        <v>128.39954000000003</v>
      </c>
      <c r="J158">
        <f t="shared" si="62"/>
        <v>189470450000</v>
      </c>
      <c r="K158">
        <f t="shared" si="63"/>
        <v>100084100480</v>
      </c>
      <c r="L158">
        <f t="shared" si="64"/>
        <v>144777275240</v>
      </c>
    </row>
    <row r="159" spans="1:12" x14ac:dyDescent="0.35">
      <c r="A159" s="1">
        <v>38896.732638888891</v>
      </c>
      <c r="B159">
        <v>3.3650000000000002</v>
      </c>
      <c r="C159" s="2">
        <f t="shared" si="55"/>
        <v>1.3872500000000001</v>
      </c>
      <c r="D159">
        <f t="shared" si="56"/>
        <v>0.50685999999999998</v>
      </c>
      <c r="E159">
        <f t="shared" si="57"/>
        <v>1397654375.0000002</v>
      </c>
      <c r="F159">
        <f t="shared" si="58"/>
        <v>737988160</v>
      </c>
      <c r="G159">
        <f t="shared" si="59"/>
        <v>189.44725000000005</v>
      </c>
      <c r="H159">
        <f t="shared" si="60"/>
        <v>69.24593999999999</v>
      </c>
      <c r="I159">
        <f t="shared" si="61"/>
        <v>129.34659500000004</v>
      </c>
      <c r="J159">
        <f t="shared" si="62"/>
        <v>190868104375</v>
      </c>
      <c r="K159">
        <f t="shared" si="63"/>
        <v>100822088640</v>
      </c>
      <c r="L159">
        <f t="shared" si="64"/>
        <v>145845096507.5</v>
      </c>
    </row>
    <row r="160" spans="1:12" x14ac:dyDescent="0.35">
      <c r="A160" s="1">
        <v>38897.638888888891</v>
      </c>
      <c r="B160">
        <v>4.2010000000000005</v>
      </c>
      <c r="C160" s="2">
        <f t="shared" si="55"/>
        <v>1.7634500000000002</v>
      </c>
      <c r="D160">
        <f t="shared" si="56"/>
        <v>0.64396400000000009</v>
      </c>
      <c r="E160">
        <f t="shared" si="57"/>
        <v>1776675875</v>
      </c>
      <c r="F160">
        <f t="shared" si="58"/>
        <v>937611584.00000012</v>
      </c>
      <c r="G160">
        <f t="shared" si="59"/>
        <v>191.21070000000006</v>
      </c>
      <c r="H160">
        <f t="shared" si="60"/>
        <v>69.889903999999987</v>
      </c>
      <c r="I160">
        <f t="shared" si="61"/>
        <v>130.55030200000002</v>
      </c>
      <c r="J160">
        <f t="shared" si="62"/>
        <v>192644780250</v>
      </c>
      <c r="K160">
        <f t="shared" si="63"/>
        <v>101759700224</v>
      </c>
      <c r="L160">
        <f t="shared" si="64"/>
        <v>147202240237</v>
      </c>
    </row>
    <row r="161" spans="1:12" x14ac:dyDescent="0.35">
      <c r="A161" s="1">
        <v>38897.763888888891</v>
      </c>
      <c r="B161">
        <v>4.7379999999999995</v>
      </c>
      <c r="C161" s="2">
        <f t="shared" si="55"/>
        <v>2.0050999999999997</v>
      </c>
      <c r="D161">
        <f t="shared" si="56"/>
        <v>0.7320319999999999</v>
      </c>
      <c r="E161">
        <f t="shared" si="57"/>
        <v>2020138249.9999998</v>
      </c>
      <c r="F161">
        <f t="shared" si="58"/>
        <v>1065838591.9999999</v>
      </c>
      <c r="G161">
        <f t="shared" si="59"/>
        <v>193.21580000000006</v>
      </c>
      <c r="H161">
        <f t="shared" si="60"/>
        <v>70.621935999999991</v>
      </c>
      <c r="I161">
        <f t="shared" si="61"/>
        <v>131.91886800000003</v>
      </c>
      <c r="J161">
        <f t="shared" si="62"/>
        <v>194664918500</v>
      </c>
      <c r="K161">
        <f t="shared" si="63"/>
        <v>102825538816</v>
      </c>
      <c r="L161">
        <f t="shared" si="64"/>
        <v>148745228658</v>
      </c>
    </row>
    <row r="162" spans="1:12" x14ac:dyDescent="0.35">
      <c r="A162" s="1">
        <v>38899.631944444445</v>
      </c>
      <c r="B162">
        <v>3.3239999999999998</v>
      </c>
      <c r="C162" s="2">
        <f t="shared" si="55"/>
        <v>1.3688</v>
      </c>
      <c r="D162">
        <f t="shared" si="56"/>
        <v>0.50013599999999991</v>
      </c>
      <c r="E162">
        <f t="shared" si="57"/>
        <v>1379066000</v>
      </c>
      <c r="F162">
        <f t="shared" si="58"/>
        <v>728198015.99999988</v>
      </c>
      <c r="G162">
        <f t="shared" si="59"/>
        <v>194.58460000000005</v>
      </c>
      <c r="H162">
        <f t="shared" si="60"/>
        <v>71.122071999999989</v>
      </c>
      <c r="I162">
        <f t="shared" si="61"/>
        <v>132.85333600000001</v>
      </c>
      <c r="J162">
        <f t="shared" si="62"/>
        <v>196043984500</v>
      </c>
      <c r="K162">
        <f t="shared" si="63"/>
        <v>103553736832</v>
      </c>
      <c r="L162">
        <f t="shared" si="64"/>
        <v>149798860666</v>
      </c>
    </row>
    <row r="163" spans="1:12" x14ac:dyDescent="0.35">
      <c r="A163" s="1">
        <v>38899.753472222219</v>
      </c>
      <c r="B163">
        <v>3.5960000000000001</v>
      </c>
      <c r="C163" s="2">
        <f t="shared" si="55"/>
        <v>1.4912000000000001</v>
      </c>
      <c r="D163">
        <f t="shared" si="56"/>
        <v>0.54474400000000001</v>
      </c>
      <c r="E163">
        <f t="shared" si="57"/>
        <v>1502384000.0000002</v>
      </c>
      <c r="F163">
        <f t="shared" si="58"/>
        <v>793147264</v>
      </c>
      <c r="G163">
        <f t="shared" si="59"/>
        <v>196.07580000000004</v>
      </c>
      <c r="H163">
        <f t="shared" si="60"/>
        <v>71.666815999999983</v>
      </c>
      <c r="I163">
        <f t="shared" si="61"/>
        <v>133.871308</v>
      </c>
      <c r="J163">
        <f t="shared" si="62"/>
        <v>197546368500</v>
      </c>
      <c r="K163">
        <f t="shared" si="63"/>
        <v>104346884096</v>
      </c>
      <c r="L163">
        <f t="shared" si="64"/>
        <v>150946626298</v>
      </c>
    </row>
    <row r="164" spans="1:12" x14ac:dyDescent="0.35">
      <c r="A164" s="1">
        <v>38901.621527777781</v>
      </c>
      <c r="B164">
        <v>2.802</v>
      </c>
      <c r="C164" s="2">
        <f t="shared" si="55"/>
        <v>1.1339000000000001</v>
      </c>
      <c r="D164">
        <f t="shared" si="56"/>
        <v>0.41452800000000006</v>
      </c>
      <c r="E164">
        <f t="shared" si="57"/>
        <v>1142404250.0000002</v>
      </c>
      <c r="F164">
        <f t="shared" si="58"/>
        <v>603552768.00000012</v>
      </c>
      <c r="G164">
        <f t="shared" si="59"/>
        <v>197.20970000000005</v>
      </c>
      <c r="H164">
        <f t="shared" si="60"/>
        <v>72.081343999999987</v>
      </c>
      <c r="I164">
        <f t="shared" si="61"/>
        <v>134.64552200000003</v>
      </c>
      <c r="J164">
        <f t="shared" si="62"/>
        <v>198688772750</v>
      </c>
      <c r="K164">
        <f t="shared" si="63"/>
        <v>104950436864</v>
      </c>
      <c r="L164">
        <f t="shared" si="64"/>
        <v>151819604807</v>
      </c>
    </row>
    <row r="165" spans="1:12" x14ac:dyDescent="0.35">
      <c r="A165" s="1">
        <v>38901.746527777781</v>
      </c>
      <c r="B165">
        <v>2.7720000000000002</v>
      </c>
      <c r="C165" s="2">
        <f t="shared" si="55"/>
        <v>1.1204000000000001</v>
      </c>
      <c r="D165">
        <f t="shared" si="56"/>
        <v>0.40960800000000008</v>
      </c>
      <c r="E165">
        <f t="shared" si="57"/>
        <v>1128803000</v>
      </c>
      <c r="F165">
        <f t="shared" si="58"/>
        <v>596389248.00000012</v>
      </c>
      <c r="G165">
        <f t="shared" si="59"/>
        <v>198.33010000000004</v>
      </c>
      <c r="H165">
        <f t="shared" si="60"/>
        <v>72.490951999999993</v>
      </c>
      <c r="I165">
        <f t="shared" si="61"/>
        <v>135.410526</v>
      </c>
      <c r="J165">
        <f t="shared" si="62"/>
        <v>199817575750</v>
      </c>
      <c r="K165">
        <f t="shared" si="63"/>
        <v>105546826112</v>
      </c>
      <c r="L165">
        <f t="shared" si="64"/>
        <v>152682200931</v>
      </c>
    </row>
    <row r="166" spans="1:12" x14ac:dyDescent="0.35">
      <c r="A166" s="1">
        <v>38903.739583333336</v>
      </c>
      <c r="B166">
        <v>3.5609999999999999</v>
      </c>
      <c r="C166" s="2">
        <f t="shared" si="55"/>
        <v>1.4754499999999999</v>
      </c>
      <c r="D166">
        <f t="shared" si="56"/>
        <v>0.53900399999999993</v>
      </c>
      <c r="E166">
        <f t="shared" si="57"/>
        <v>1486515874.9999998</v>
      </c>
      <c r="F166">
        <f t="shared" si="58"/>
        <v>784789823.99999988</v>
      </c>
      <c r="G166">
        <f t="shared" si="59"/>
        <v>199.80555000000004</v>
      </c>
      <c r="H166">
        <f t="shared" si="60"/>
        <v>73.029955999999999</v>
      </c>
      <c r="I166">
        <f t="shared" si="61"/>
        <v>136.417753</v>
      </c>
      <c r="J166">
        <f t="shared" si="62"/>
        <v>201304091625</v>
      </c>
      <c r="K166">
        <f t="shared" si="63"/>
        <v>106331615936</v>
      </c>
      <c r="L166">
        <f t="shared" si="64"/>
        <v>153817853780.5</v>
      </c>
    </row>
    <row r="167" spans="1:12" x14ac:dyDescent="0.35">
      <c r="A167" s="1">
        <v>38904.642361111109</v>
      </c>
      <c r="B167">
        <v>1.863</v>
      </c>
      <c r="C167" s="2">
        <f t="shared" si="55"/>
        <v>0.71135000000000004</v>
      </c>
      <c r="D167">
        <f t="shared" si="56"/>
        <v>0.26053200000000004</v>
      </c>
      <c r="E167">
        <f t="shared" si="57"/>
        <v>716685125</v>
      </c>
      <c r="F167">
        <f t="shared" si="58"/>
        <v>379334592.00000006</v>
      </c>
      <c r="G167">
        <f t="shared" si="59"/>
        <v>200.51690000000005</v>
      </c>
      <c r="H167">
        <f t="shared" si="60"/>
        <v>73.290487999999996</v>
      </c>
      <c r="I167">
        <f t="shared" si="61"/>
        <v>136.90369400000003</v>
      </c>
      <c r="J167">
        <f t="shared" si="62"/>
        <v>202020776750</v>
      </c>
      <c r="K167">
        <f t="shared" si="63"/>
        <v>106710950528</v>
      </c>
      <c r="L167">
        <f t="shared" si="64"/>
        <v>154365863639</v>
      </c>
    </row>
    <row r="168" spans="1:12" x14ac:dyDescent="0.35">
      <c r="A168" s="1">
        <v>38905.729166666664</v>
      </c>
      <c r="B168">
        <v>0.79200000000000004</v>
      </c>
      <c r="C168" s="2">
        <f t="shared" si="55"/>
        <v>0.22940000000000005</v>
      </c>
      <c r="D168">
        <f t="shared" si="56"/>
        <v>8.4888000000000005E-2</v>
      </c>
      <c r="E168">
        <f t="shared" si="57"/>
        <v>231120500.00000006</v>
      </c>
      <c r="F168">
        <f t="shared" si="58"/>
        <v>123596928.00000001</v>
      </c>
      <c r="G168">
        <f t="shared" si="59"/>
        <v>200.74630000000005</v>
      </c>
      <c r="H168">
        <f t="shared" si="60"/>
        <v>73.375376000000003</v>
      </c>
      <c r="I168">
        <f t="shared" si="61"/>
        <v>137.06083800000002</v>
      </c>
      <c r="J168">
        <f t="shared" si="62"/>
        <v>202251897250</v>
      </c>
      <c r="K168">
        <f t="shared" si="63"/>
        <v>106834547456</v>
      </c>
      <c r="L168">
        <f t="shared" si="64"/>
        <v>154543222353</v>
      </c>
    </row>
    <row r="169" spans="1:12" x14ac:dyDescent="0.35">
      <c r="A169" s="1">
        <v>38906.121527777781</v>
      </c>
      <c r="B169">
        <v>3.3180000000000001</v>
      </c>
      <c r="C169" s="2">
        <f t="shared" si="55"/>
        <v>1.3661000000000001</v>
      </c>
      <c r="D169">
        <f t="shared" si="56"/>
        <v>0.4991520000000001</v>
      </c>
      <c r="E169">
        <f t="shared" si="57"/>
        <v>1376345750</v>
      </c>
      <c r="F169">
        <f t="shared" si="58"/>
        <v>726765312.00000012</v>
      </c>
      <c r="G169">
        <f t="shared" si="59"/>
        <v>202.11240000000004</v>
      </c>
      <c r="H169">
        <f t="shared" si="60"/>
        <v>73.874527999999998</v>
      </c>
      <c r="I169">
        <f t="shared" si="61"/>
        <v>137.99346400000002</v>
      </c>
      <c r="J169">
        <f t="shared" si="62"/>
        <v>203628243000</v>
      </c>
      <c r="K169">
        <f t="shared" si="63"/>
        <v>107561312768</v>
      </c>
      <c r="L169">
        <f t="shared" si="64"/>
        <v>155594777884</v>
      </c>
    </row>
    <row r="170" spans="1:12" x14ac:dyDescent="0.35">
      <c r="A170" s="1">
        <v>38906.635416666664</v>
      </c>
      <c r="B170">
        <v>3.2149999999999999</v>
      </c>
      <c r="C170" s="2">
        <f t="shared" si="55"/>
        <v>1.31975</v>
      </c>
      <c r="D170">
        <f t="shared" si="56"/>
        <v>0.48225999999999997</v>
      </c>
      <c r="E170">
        <f t="shared" si="57"/>
        <v>1329648125</v>
      </c>
      <c r="F170">
        <f t="shared" si="58"/>
        <v>702170560</v>
      </c>
      <c r="G170">
        <f t="shared" si="59"/>
        <v>203.43215000000004</v>
      </c>
      <c r="H170">
        <f t="shared" si="60"/>
        <v>74.356787999999995</v>
      </c>
      <c r="I170">
        <f t="shared" si="61"/>
        <v>138.89446900000002</v>
      </c>
      <c r="J170">
        <f t="shared" si="62"/>
        <v>204957891125</v>
      </c>
      <c r="K170">
        <f t="shared" si="63"/>
        <v>108263483328</v>
      </c>
      <c r="L170">
        <f t="shared" si="64"/>
        <v>156610687226.5</v>
      </c>
    </row>
    <row r="171" spans="1:12" x14ac:dyDescent="0.35">
      <c r="A171" s="1">
        <v>38906.760416666664</v>
      </c>
      <c r="B171">
        <v>5.2</v>
      </c>
      <c r="C171" s="2">
        <f t="shared" si="55"/>
        <v>2.2130000000000001</v>
      </c>
      <c r="D171">
        <f t="shared" si="56"/>
        <v>0.80780000000000007</v>
      </c>
      <c r="E171">
        <f t="shared" si="57"/>
        <v>2229597500</v>
      </c>
      <c r="F171">
        <f t="shared" si="58"/>
        <v>1176156800</v>
      </c>
      <c r="G171">
        <f t="shared" si="59"/>
        <v>205.64515000000003</v>
      </c>
      <c r="H171">
        <f t="shared" si="60"/>
        <v>75.164587999999995</v>
      </c>
      <c r="I171">
        <f t="shared" si="61"/>
        <v>140.40486900000002</v>
      </c>
      <c r="J171">
        <f t="shared" si="62"/>
        <v>207187488625</v>
      </c>
      <c r="K171">
        <f t="shared" si="63"/>
        <v>109439640128</v>
      </c>
      <c r="L171">
        <f t="shared" si="64"/>
        <v>158313564376.5</v>
      </c>
    </row>
    <row r="172" spans="1:12" x14ac:dyDescent="0.35">
      <c r="A172" s="1">
        <v>38908.625</v>
      </c>
      <c r="B172">
        <v>1.4910000000000001</v>
      </c>
      <c r="C172" s="2">
        <f t="shared" si="55"/>
        <v>0.54395000000000004</v>
      </c>
      <c r="D172">
        <f t="shared" si="56"/>
        <v>0.19952400000000003</v>
      </c>
      <c r="E172">
        <f t="shared" si="57"/>
        <v>548029625.00000012</v>
      </c>
      <c r="F172">
        <f t="shared" si="58"/>
        <v>290506944.00000006</v>
      </c>
      <c r="G172">
        <f t="shared" si="59"/>
        <v>206.18910000000002</v>
      </c>
      <c r="H172">
        <f t="shared" si="60"/>
        <v>75.364111999999992</v>
      </c>
      <c r="I172">
        <f t="shared" si="61"/>
        <v>140.77660600000002</v>
      </c>
      <c r="J172">
        <f t="shared" si="62"/>
        <v>207735518250</v>
      </c>
      <c r="K172">
        <f t="shared" si="63"/>
        <v>109730147072</v>
      </c>
      <c r="L172">
        <f t="shared" si="64"/>
        <v>158732832661</v>
      </c>
    </row>
    <row r="173" spans="1:12" x14ac:dyDescent="0.35">
      <c r="A173" s="1">
        <v>38908.75</v>
      </c>
      <c r="B173">
        <v>3.476</v>
      </c>
      <c r="C173" s="2">
        <f t="shared" si="55"/>
        <v>1.4372</v>
      </c>
      <c r="D173">
        <f t="shared" si="56"/>
        <v>0.52506399999999998</v>
      </c>
      <c r="E173">
        <f t="shared" si="57"/>
        <v>1447979000</v>
      </c>
      <c r="F173">
        <f t="shared" si="58"/>
        <v>764493183.99999988</v>
      </c>
      <c r="G173">
        <f t="shared" si="59"/>
        <v>207.62630000000001</v>
      </c>
      <c r="H173">
        <f t="shared" si="60"/>
        <v>75.889175999999992</v>
      </c>
      <c r="I173">
        <f t="shared" si="61"/>
        <v>141.75773800000002</v>
      </c>
      <c r="J173">
        <f t="shared" si="62"/>
        <v>209183497250</v>
      </c>
      <c r="K173">
        <f t="shared" si="63"/>
        <v>110494640256</v>
      </c>
      <c r="L173">
        <f t="shared" si="64"/>
        <v>159839068753</v>
      </c>
    </row>
    <row r="174" spans="1:12" x14ac:dyDescent="0.35">
      <c r="A174" s="1">
        <v>38910.618055555555</v>
      </c>
      <c r="B174">
        <v>0.76300000000000001</v>
      </c>
      <c r="C174" s="2">
        <f t="shared" si="55"/>
        <v>0.21634999999999999</v>
      </c>
      <c r="D174">
        <f t="shared" si="56"/>
        <v>8.0132000000000023E-2</v>
      </c>
      <c r="E174">
        <f t="shared" si="57"/>
        <v>217972625</v>
      </c>
      <c r="F174">
        <f t="shared" si="58"/>
        <v>116672192.00000003</v>
      </c>
      <c r="G174">
        <f t="shared" si="59"/>
        <v>207.84265000000002</v>
      </c>
      <c r="H174">
        <f t="shared" si="60"/>
        <v>75.969307999999998</v>
      </c>
      <c r="I174">
        <f t="shared" si="61"/>
        <v>141.905979</v>
      </c>
      <c r="J174">
        <f t="shared" si="62"/>
        <v>209401469875</v>
      </c>
      <c r="K174">
        <f t="shared" si="63"/>
        <v>110611312448</v>
      </c>
      <c r="L174">
        <f t="shared" si="64"/>
        <v>160006391161.5</v>
      </c>
    </row>
    <row r="175" spans="1:12" x14ac:dyDescent="0.35">
      <c r="A175" s="1">
        <v>38910.743055555555</v>
      </c>
      <c r="B175">
        <v>0.77800000000000002</v>
      </c>
      <c r="C175" s="2">
        <f t="shared" si="55"/>
        <v>0.22310000000000002</v>
      </c>
      <c r="D175">
        <f t="shared" si="56"/>
        <v>8.2592000000000013E-2</v>
      </c>
      <c r="E175">
        <f t="shared" si="57"/>
        <v>224773250.00000003</v>
      </c>
      <c r="F175">
        <f t="shared" si="58"/>
        <v>120253952.00000001</v>
      </c>
      <c r="G175">
        <f t="shared" si="59"/>
        <v>208.06575000000001</v>
      </c>
      <c r="H175">
        <f t="shared" si="60"/>
        <v>76.051900000000003</v>
      </c>
      <c r="I175">
        <f t="shared" si="61"/>
        <v>142.05882500000001</v>
      </c>
      <c r="J175">
        <f t="shared" si="62"/>
        <v>209626243125</v>
      </c>
      <c r="K175">
        <f t="shared" si="63"/>
        <v>110731566400</v>
      </c>
      <c r="L175">
        <f t="shared" si="64"/>
        <v>160178904762.5</v>
      </c>
    </row>
    <row r="176" spans="1:12" x14ac:dyDescent="0.35">
      <c r="A176" s="1">
        <v>38913.638888888891</v>
      </c>
      <c r="B176">
        <v>0.68799999999999994</v>
      </c>
      <c r="C176" s="2">
        <f t="shared" si="55"/>
        <v>0.18259999999999998</v>
      </c>
      <c r="D176">
        <f t="shared" si="56"/>
        <v>6.7832000000000003E-2</v>
      </c>
      <c r="E176">
        <f t="shared" si="57"/>
        <v>183969499.99999997</v>
      </c>
      <c r="F176">
        <f t="shared" si="58"/>
        <v>98763392</v>
      </c>
      <c r="G176">
        <f t="shared" si="59"/>
        <v>208.24835000000002</v>
      </c>
      <c r="H176">
        <f t="shared" si="60"/>
        <v>76.119731999999999</v>
      </c>
      <c r="I176">
        <f t="shared" si="61"/>
        <v>142.18404100000001</v>
      </c>
      <c r="J176">
        <f t="shared" si="62"/>
        <v>209810212625</v>
      </c>
      <c r="K176">
        <f t="shared" si="63"/>
        <v>110830329792</v>
      </c>
      <c r="L176">
        <f t="shared" si="64"/>
        <v>160320271208.5</v>
      </c>
    </row>
    <row r="177" spans="1:12" x14ac:dyDescent="0.35">
      <c r="A177" s="1">
        <v>38913.763888888891</v>
      </c>
      <c r="B177">
        <v>0.85399999999999998</v>
      </c>
      <c r="C177" s="2">
        <f t="shared" si="55"/>
        <v>0.25729999999999997</v>
      </c>
      <c r="D177">
        <f t="shared" si="56"/>
        <v>9.5056000000000015E-2</v>
      </c>
      <c r="E177">
        <f t="shared" si="57"/>
        <v>259229749.99999997</v>
      </c>
      <c r="F177">
        <f t="shared" si="58"/>
        <v>138401536.00000003</v>
      </c>
      <c r="G177">
        <f t="shared" si="59"/>
        <v>208.50565</v>
      </c>
      <c r="H177">
        <f t="shared" si="60"/>
        <v>76.214787999999999</v>
      </c>
      <c r="I177">
        <f t="shared" si="61"/>
        <v>142.360219</v>
      </c>
      <c r="J177">
        <f t="shared" si="62"/>
        <v>210069442375</v>
      </c>
      <c r="K177">
        <f t="shared" si="63"/>
        <v>110968731328</v>
      </c>
      <c r="L177">
        <f t="shared" si="64"/>
        <v>160519086851.5</v>
      </c>
    </row>
    <row r="178" spans="1:12" x14ac:dyDescent="0.35">
      <c r="A178" s="1">
        <v>38915.631944444445</v>
      </c>
      <c r="B178">
        <v>2.5459999999999998</v>
      </c>
      <c r="C178" s="2">
        <f t="shared" si="55"/>
        <v>1.0186999999999999</v>
      </c>
      <c r="D178">
        <f t="shared" si="56"/>
        <v>0.37254399999999999</v>
      </c>
      <c r="E178">
        <f t="shared" si="57"/>
        <v>1026340250</v>
      </c>
      <c r="F178">
        <f t="shared" si="58"/>
        <v>542424064</v>
      </c>
      <c r="G178">
        <f t="shared" si="59"/>
        <v>209.52435</v>
      </c>
      <c r="H178">
        <f t="shared" si="60"/>
        <v>76.587332000000004</v>
      </c>
      <c r="I178">
        <f t="shared" si="61"/>
        <v>143.05584099999999</v>
      </c>
      <c r="J178">
        <f t="shared" si="62"/>
        <v>211095782625</v>
      </c>
      <c r="K178">
        <f t="shared" si="63"/>
        <v>111511155392</v>
      </c>
      <c r="L178">
        <f t="shared" si="64"/>
        <v>161303469008.5</v>
      </c>
    </row>
    <row r="179" spans="1:12" x14ac:dyDescent="0.35">
      <c r="A179" s="1">
        <v>38915.756944444445</v>
      </c>
      <c r="B179">
        <v>0.85099999999999998</v>
      </c>
      <c r="C179" s="2">
        <f t="shared" si="55"/>
        <v>0.25595000000000001</v>
      </c>
      <c r="D179">
        <f t="shared" si="56"/>
        <v>9.4563999999999995E-2</v>
      </c>
      <c r="E179">
        <f t="shared" si="57"/>
        <v>257869625</v>
      </c>
      <c r="F179">
        <f t="shared" si="58"/>
        <v>137685184</v>
      </c>
      <c r="G179">
        <f t="shared" si="59"/>
        <v>209.78030000000001</v>
      </c>
      <c r="H179">
        <f t="shared" si="60"/>
        <v>76.681896000000009</v>
      </c>
      <c r="I179">
        <f t="shared" si="61"/>
        <v>143.231098</v>
      </c>
      <c r="J179">
        <f t="shared" si="62"/>
        <v>211353652250</v>
      </c>
      <c r="K179">
        <f t="shared" si="63"/>
        <v>111648840576</v>
      </c>
      <c r="L179">
        <f t="shared" si="64"/>
        <v>161501246413</v>
      </c>
    </row>
    <row r="180" spans="1:12" x14ac:dyDescent="0.35">
      <c r="A180" s="1">
        <v>38917.621527777781</v>
      </c>
      <c r="B180">
        <v>3.3220000000000001</v>
      </c>
      <c r="C180" s="2">
        <f t="shared" si="55"/>
        <v>1.3679000000000001</v>
      </c>
      <c r="D180">
        <f t="shared" si="56"/>
        <v>0.49980800000000009</v>
      </c>
      <c r="E180">
        <f t="shared" si="57"/>
        <v>1378159250.0000002</v>
      </c>
      <c r="F180">
        <f t="shared" si="58"/>
        <v>727720448.00000012</v>
      </c>
      <c r="G180">
        <f t="shared" si="59"/>
        <v>211.1482</v>
      </c>
      <c r="H180">
        <f t="shared" si="60"/>
        <v>77.181704000000011</v>
      </c>
      <c r="I180">
        <f t="shared" si="61"/>
        <v>144.164952</v>
      </c>
      <c r="J180">
        <f t="shared" si="62"/>
        <v>212731811500</v>
      </c>
      <c r="K180">
        <f t="shared" si="63"/>
        <v>112376561024</v>
      </c>
      <c r="L180">
        <f t="shared" si="64"/>
        <v>162554186262</v>
      </c>
    </row>
    <row r="181" spans="1:12" x14ac:dyDescent="0.35">
      <c r="A181" s="1">
        <v>38917.746527777781</v>
      </c>
      <c r="B181">
        <v>0.879</v>
      </c>
      <c r="C181" s="2">
        <f t="shared" si="55"/>
        <v>0.26855000000000001</v>
      </c>
      <c r="D181">
        <f t="shared" si="56"/>
        <v>9.9156000000000008E-2</v>
      </c>
      <c r="E181">
        <f t="shared" si="57"/>
        <v>270564125</v>
      </c>
      <c r="F181">
        <f t="shared" si="58"/>
        <v>144371136.00000003</v>
      </c>
      <c r="G181">
        <f t="shared" si="59"/>
        <v>211.41675000000001</v>
      </c>
      <c r="H181">
        <f t="shared" si="60"/>
        <v>77.280860000000004</v>
      </c>
      <c r="I181">
        <f t="shared" si="61"/>
        <v>144.348805</v>
      </c>
      <c r="J181">
        <f t="shared" si="62"/>
        <v>213002375625</v>
      </c>
      <c r="K181">
        <f t="shared" si="63"/>
        <v>112520932160</v>
      </c>
      <c r="L181">
        <f t="shared" si="64"/>
        <v>162761653892.5</v>
      </c>
    </row>
    <row r="182" spans="1:12" x14ac:dyDescent="0.35">
      <c r="A182" s="1">
        <v>38918.260416666664</v>
      </c>
      <c r="B182">
        <v>3.0630000000000002</v>
      </c>
      <c r="C182" s="2">
        <f t="shared" si="55"/>
        <v>1.2513500000000002</v>
      </c>
      <c r="D182">
        <f t="shared" si="56"/>
        <v>0.45733200000000002</v>
      </c>
      <c r="E182">
        <f t="shared" si="57"/>
        <v>1260735125.0000002</v>
      </c>
      <c r="F182">
        <f t="shared" si="58"/>
        <v>665875392</v>
      </c>
      <c r="G182">
        <f t="shared" si="59"/>
        <v>212.66810000000001</v>
      </c>
      <c r="H182">
        <f t="shared" si="60"/>
        <v>77.738191999999998</v>
      </c>
      <c r="I182">
        <f t="shared" si="61"/>
        <v>145.203146</v>
      </c>
      <c r="J182">
        <f t="shared" si="62"/>
        <v>214263110750</v>
      </c>
      <c r="K182">
        <f t="shared" si="63"/>
        <v>113186807552</v>
      </c>
      <c r="L182">
        <f t="shared" si="64"/>
        <v>163724959151</v>
      </c>
    </row>
    <row r="183" spans="1:12" x14ac:dyDescent="0.35">
      <c r="A183" s="1">
        <v>38919.739583333336</v>
      </c>
      <c r="B183">
        <v>0.79900000000000004</v>
      </c>
      <c r="C183" s="2">
        <f t="shared" si="55"/>
        <v>0.23255000000000003</v>
      </c>
      <c r="D183">
        <f t="shared" si="56"/>
        <v>8.6036000000000015E-2</v>
      </c>
      <c r="E183">
        <f t="shared" si="57"/>
        <v>234294125.00000003</v>
      </c>
      <c r="F183">
        <f t="shared" si="58"/>
        <v>125268416.00000001</v>
      </c>
      <c r="G183">
        <f t="shared" si="59"/>
        <v>212.90065000000001</v>
      </c>
      <c r="H183">
        <f t="shared" si="60"/>
        <v>77.824228000000005</v>
      </c>
      <c r="I183">
        <f t="shared" si="61"/>
        <v>145.36243899999999</v>
      </c>
      <c r="J183">
        <f t="shared" si="62"/>
        <v>214497404875</v>
      </c>
      <c r="K183">
        <f t="shared" si="63"/>
        <v>113312075968</v>
      </c>
      <c r="L183">
        <f t="shared" si="64"/>
        <v>163904740421.5</v>
      </c>
    </row>
    <row r="184" spans="1:12" x14ac:dyDescent="0.35">
      <c r="A184" s="1">
        <v>38921.729166666664</v>
      </c>
      <c r="B184">
        <v>0.88200000000000001</v>
      </c>
      <c r="C184" s="2">
        <f t="shared" si="55"/>
        <v>0.26990000000000003</v>
      </c>
      <c r="D184">
        <f t="shared" si="56"/>
        <v>9.9648E-2</v>
      </c>
      <c r="E184">
        <f t="shared" si="57"/>
        <v>271924250.00000006</v>
      </c>
      <c r="F184">
        <f t="shared" si="58"/>
        <v>145087487.99999997</v>
      </c>
      <c r="G184">
        <f t="shared" si="59"/>
        <v>213.17055000000002</v>
      </c>
      <c r="H184">
        <f t="shared" si="60"/>
        <v>77.923876000000007</v>
      </c>
      <c r="I184">
        <f t="shared" si="61"/>
        <v>145.547213</v>
      </c>
      <c r="J184">
        <f t="shared" si="62"/>
        <v>214769329125</v>
      </c>
      <c r="K184">
        <f t="shared" si="63"/>
        <v>113457163456</v>
      </c>
      <c r="L184">
        <f t="shared" si="64"/>
        <v>164113246290.5</v>
      </c>
    </row>
    <row r="185" spans="1:12" x14ac:dyDescent="0.35">
      <c r="A185" s="1">
        <v>38922.121527777781</v>
      </c>
      <c r="B185">
        <v>2.9929999999999999</v>
      </c>
      <c r="C185" s="2">
        <f t="shared" si="55"/>
        <v>1.2198499999999999</v>
      </c>
      <c r="D185">
        <f t="shared" si="56"/>
        <v>0.44585200000000003</v>
      </c>
      <c r="E185">
        <f t="shared" si="57"/>
        <v>1228998874.9999998</v>
      </c>
      <c r="F185">
        <f t="shared" si="58"/>
        <v>649160512</v>
      </c>
      <c r="G185">
        <f t="shared" si="59"/>
        <v>214.39040000000003</v>
      </c>
      <c r="H185">
        <f t="shared" si="60"/>
        <v>78.369728000000009</v>
      </c>
      <c r="I185">
        <f t="shared" si="61"/>
        <v>146.380064</v>
      </c>
      <c r="J185">
        <f t="shared" si="62"/>
        <v>215998328000</v>
      </c>
      <c r="K185">
        <f t="shared" si="63"/>
        <v>114106323968</v>
      </c>
      <c r="L185">
        <f t="shared" si="64"/>
        <v>165052325984</v>
      </c>
    </row>
    <row r="186" spans="1:12" x14ac:dyDescent="0.35">
      <c r="A186" s="1">
        <v>38922.635416666664</v>
      </c>
      <c r="B186">
        <v>3.1669999999999998</v>
      </c>
      <c r="C186" s="2">
        <f t="shared" si="55"/>
        <v>1.2981499999999999</v>
      </c>
      <c r="D186">
        <f t="shared" si="56"/>
        <v>0.47438799999999998</v>
      </c>
      <c r="E186">
        <f t="shared" si="57"/>
        <v>1307886124.9999998</v>
      </c>
      <c r="F186">
        <f t="shared" si="58"/>
        <v>690708928</v>
      </c>
      <c r="G186">
        <f t="shared" si="59"/>
        <v>215.68855000000002</v>
      </c>
      <c r="H186">
        <f t="shared" si="60"/>
        <v>78.844116000000014</v>
      </c>
      <c r="I186">
        <f t="shared" si="61"/>
        <v>147.26633300000003</v>
      </c>
      <c r="J186">
        <f t="shared" si="62"/>
        <v>217306214125</v>
      </c>
      <c r="K186">
        <f t="shared" si="63"/>
        <v>114797032896</v>
      </c>
      <c r="L186">
        <f t="shared" si="64"/>
        <v>166051623510.5</v>
      </c>
    </row>
    <row r="187" spans="1:12" x14ac:dyDescent="0.35">
      <c r="A187" s="1">
        <v>38922.760416666664</v>
      </c>
      <c r="B187">
        <v>1.9369999999999998</v>
      </c>
      <c r="C187" s="2">
        <f t="shared" si="55"/>
        <v>0.74464999999999992</v>
      </c>
      <c r="D187">
        <f t="shared" si="56"/>
        <v>0.27266800000000002</v>
      </c>
      <c r="E187">
        <f t="shared" si="57"/>
        <v>750234874.99999988</v>
      </c>
      <c r="F187">
        <f t="shared" si="58"/>
        <v>397004608.00000006</v>
      </c>
      <c r="G187">
        <f t="shared" si="59"/>
        <v>216.43320000000003</v>
      </c>
      <c r="H187">
        <f t="shared" si="60"/>
        <v>79.11678400000001</v>
      </c>
      <c r="I187">
        <f t="shared" si="61"/>
        <v>147.77499200000003</v>
      </c>
      <c r="J187">
        <f t="shared" si="62"/>
        <v>218056449000</v>
      </c>
      <c r="K187">
        <f t="shared" si="63"/>
        <v>115194037504</v>
      </c>
      <c r="L187">
        <f t="shared" si="64"/>
        <v>166625243252</v>
      </c>
    </row>
    <row r="188" spans="1:12" x14ac:dyDescent="0.35">
      <c r="A188" s="1">
        <v>38924.625</v>
      </c>
      <c r="B188">
        <v>2.1880000000000002</v>
      </c>
      <c r="C188" s="2">
        <f t="shared" si="55"/>
        <v>0.85760000000000014</v>
      </c>
      <c r="D188">
        <f t="shared" si="56"/>
        <v>0.31383200000000006</v>
      </c>
      <c r="E188">
        <f t="shared" si="57"/>
        <v>864032000.00000012</v>
      </c>
      <c r="F188">
        <f t="shared" si="58"/>
        <v>456939392.00000006</v>
      </c>
      <c r="G188">
        <f t="shared" si="59"/>
        <v>217.29080000000002</v>
      </c>
      <c r="H188">
        <f t="shared" si="60"/>
        <v>79.430616000000015</v>
      </c>
      <c r="I188">
        <f t="shared" si="61"/>
        <v>148.36070800000002</v>
      </c>
      <c r="J188">
        <f t="shared" si="62"/>
        <v>218920481000</v>
      </c>
      <c r="K188">
        <f t="shared" si="63"/>
        <v>115650976896</v>
      </c>
      <c r="L188">
        <f t="shared" si="64"/>
        <v>167285728948</v>
      </c>
    </row>
    <row r="189" spans="1:12" x14ac:dyDescent="0.35">
      <c r="A189" s="1">
        <v>38924.75</v>
      </c>
      <c r="B189">
        <v>3.7919999999999998</v>
      </c>
      <c r="C189" s="2">
        <f t="shared" si="55"/>
        <v>1.5793999999999999</v>
      </c>
      <c r="D189">
        <f t="shared" si="56"/>
        <v>0.57688799999999996</v>
      </c>
      <c r="E189">
        <f t="shared" si="57"/>
        <v>1591245499.9999998</v>
      </c>
      <c r="F189">
        <f t="shared" si="58"/>
        <v>839948928</v>
      </c>
      <c r="G189">
        <f t="shared" si="59"/>
        <v>218.87020000000001</v>
      </c>
      <c r="H189">
        <f t="shared" si="60"/>
        <v>80.007504000000012</v>
      </c>
      <c r="I189">
        <f t="shared" si="61"/>
        <v>149.438852</v>
      </c>
      <c r="J189">
        <f t="shared" si="62"/>
        <v>220511726500</v>
      </c>
      <c r="K189">
        <f t="shared" si="63"/>
        <v>116490925824</v>
      </c>
      <c r="L189">
        <f t="shared" si="64"/>
        <v>168501326162</v>
      </c>
    </row>
    <row r="190" spans="1:12" x14ac:dyDescent="0.35">
      <c r="A190" s="1">
        <v>38926.743055555555</v>
      </c>
      <c r="B190">
        <v>1.742</v>
      </c>
      <c r="C190" s="2">
        <f t="shared" si="55"/>
        <v>0.65690000000000004</v>
      </c>
      <c r="D190">
        <f t="shared" si="56"/>
        <v>0.24068800000000001</v>
      </c>
      <c r="E190">
        <f t="shared" si="57"/>
        <v>661826750</v>
      </c>
      <c r="F190">
        <f t="shared" si="58"/>
        <v>350441728</v>
      </c>
      <c r="G190">
        <f t="shared" si="59"/>
        <v>219.52710000000002</v>
      </c>
      <c r="H190">
        <f t="shared" si="60"/>
        <v>80.248192000000017</v>
      </c>
      <c r="I190">
        <f t="shared" si="61"/>
        <v>149.88764600000002</v>
      </c>
      <c r="J190">
        <f t="shared" si="62"/>
        <v>221173553250</v>
      </c>
      <c r="K190">
        <f t="shared" si="63"/>
        <v>116841367552</v>
      </c>
      <c r="L190">
        <f t="shared" si="64"/>
        <v>169007460401</v>
      </c>
    </row>
    <row r="191" spans="1:12" x14ac:dyDescent="0.35">
      <c r="A191" s="1">
        <v>38929.638888888891</v>
      </c>
      <c r="B191">
        <v>1.8089999999999999</v>
      </c>
      <c r="C191" s="2">
        <f t="shared" si="55"/>
        <v>0.68704999999999994</v>
      </c>
      <c r="D191">
        <f t="shared" si="56"/>
        <v>0.25167600000000001</v>
      </c>
      <c r="E191">
        <f t="shared" si="57"/>
        <v>692202875</v>
      </c>
      <c r="F191">
        <f t="shared" si="58"/>
        <v>366440256</v>
      </c>
      <c r="G191">
        <f t="shared" si="59"/>
        <v>220.21415000000002</v>
      </c>
      <c r="H191">
        <f t="shared" si="60"/>
        <v>80.499868000000021</v>
      </c>
      <c r="I191">
        <f t="shared" si="61"/>
        <v>150.35700900000001</v>
      </c>
      <c r="J191">
        <f t="shared" si="62"/>
        <v>221865756125</v>
      </c>
      <c r="K191">
        <f t="shared" si="63"/>
        <v>117207807808</v>
      </c>
      <c r="L191">
        <f t="shared" si="64"/>
        <v>169536781966.5</v>
      </c>
    </row>
    <row r="192" spans="1:12" x14ac:dyDescent="0.35">
      <c r="A192" s="1">
        <v>38929.763888888891</v>
      </c>
      <c r="B192">
        <v>1.0169999999999999</v>
      </c>
      <c r="C192" s="2">
        <f t="shared" si="55"/>
        <v>0.33064999999999994</v>
      </c>
      <c r="D192">
        <f t="shared" si="56"/>
        <v>0.12178799999999999</v>
      </c>
      <c r="E192">
        <f t="shared" si="57"/>
        <v>333129874.99999994</v>
      </c>
      <c r="F192">
        <f t="shared" si="58"/>
        <v>177323328</v>
      </c>
      <c r="G192">
        <f t="shared" si="59"/>
        <v>220.54480000000001</v>
      </c>
      <c r="H192">
        <f t="shared" si="60"/>
        <v>80.621656000000016</v>
      </c>
      <c r="I192">
        <f t="shared" si="61"/>
        <v>150.58322800000002</v>
      </c>
      <c r="J192">
        <f t="shared" si="62"/>
        <v>222198886000</v>
      </c>
      <c r="K192">
        <f t="shared" si="63"/>
        <v>117385131136</v>
      </c>
      <c r="L192">
        <f t="shared" si="64"/>
        <v>169792008568</v>
      </c>
    </row>
    <row r="193" spans="1:12" x14ac:dyDescent="0.35">
      <c r="A193" s="1">
        <v>38931.631944444445</v>
      </c>
      <c r="B193">
        <v>1.5409999999999999</v>
      </c>
      <c r="C193" s="2">
        <f t="shared" si="55"/>
        <v>0.56645000000000001</v>
      </c>
      <c r="D193">
        <f t="shared" si="56"/>
        <v>0.20772400000000002</v>
      </c>
      <c r="E193">
        <f t="shared" si="57"/>
        <v>570698375</v>
      </c>
      <c r="F193">
        <f t="shared" si="58"/>
        <v>302446144</v>
      </c>
      <c r="G193">
        <f t="shared" si="59"/>
        <v>221.11125000000001</v>
      </c>
      <c r="H193">
        <f t="shared" si="60"/>
        <v>80.829380000000015</v>
      </c>
      <c r="I193">
        <f t="shared" si="61"/>
        <v>150.97031500000003</v>
      </c>
      <c r="J193">
        <f t="shared" si="62"/>
        <v>222769584375</v>
      </c>
      <c r="K193">
        <f t="shared" si="63"/>
        <v>117687577280</v>
      </c>
      <c r="L193">
        <f t="shared" si="64"/>
        <v>170228580827.5</v>
      </c>
    </row>
    <row r="194" spans="1:12" x14ac:dyDescent="0.35">
      <c r="A194" s="1">
        <v>38931.756944444445</v>
      </c>
      <c r="B194">
        <v>1.875</v>
      </c>
      <c r="C194" s="2">
        <f t="shared" si="55"/>
        <v>0.71675</v>
      </c>
      <c r="D194">
        <f t="shared" si="56"/>
        <v>0.26250000000000001</v>
      </c>
      <c r="E194">
        <f t="shared" si="57"/>
        <v>722125625</v>
      </c>
      <c r="F194">
        <f t="shared" si="58"/>
        <v>382200000</v>
      </c>
      <c r="G194">
        <f t="shared" si="59"/>
        <v>221.828</v>
      </c>
      <c r="H194">
        <f t="shared" si="60"/>
        <v>81.091880000000018</v>
      </c>
      <c r="I194">
        <f t="shared" si="61"/>
        <v>151.45994000000002</v>
      </c>
      <c r="J194">
        <f t="shared" si="62"/>
        <v>223491710000</v>
      </c>
      <c r="K194">
        <f t="shared" si="63"/>
        <v>118069777280</v>
      </c>
      <c r="L194">
        <f t="shared" si="64"/>
        <v>170780743640</v>
      </c>
    </row>
    <row r="195" spans="1:12" x14ac:dyDescent="0.35">
      <c r="A195" s="1">
        <v>38933.621527777781</v>
      </c>
      <c r="B195">
        <v>1.9710000000000001</v>
      </c>
      <c r="C195" s="2">
        <f t="shared" si="55"/>
        <v>0.75995000000000001</v>
      </c>
      <c r="D195">
        <f t="shared" si="56"/>
        <v>0.27824400000000005</v>
      </c>
      <c r="E195">
        <f t="shared" si="57"/>
        <v>765649625</v>
      </c>
      <c r="F195">
        <f t="shared" si="58"/>
        <v>405123264.00000006</v>
      </c>
      <c r="G195">
        <f t="shared" si="59"/>
        <v>222.58795000000001</v>
      </c>
      <c r="H195">
        <f t="shared" si="60"/>
        <v>81.370124000000018</v>
      </c>
      <c r="I195">
        <f t="shared" si="61"/>
        <v>151.97903700000001</v>
      </c>
      <c r="J195">
        <f t="shared" si="62"/>
        <v>224257359625</v>
      </c>
      <c r="K195">
        <f t="shared" si="63"/>
        <v>118474900544</v>
      </c>
      <c r="L195">
        <f t="shared" si="64"/>
        <v>171366130084.5</v>
      </c>
    </row>
    <row r="196" spans="1:12" x14ac:dyDescent="0.35">
      <c r="A196" s="1">
        <v>38933.746527777781</v>
      </c>
      <c r="B196">
        <v>2.3450000000000002</v>
      </c>
      <c r="C196" s="2">
        <f t="shared" ref="C196:C245" si="65">(0.45*B196)-0.127</f>
        <v>0.92825000000000002</v>
      </c>
      <c r="D196">
        <f t="shared" ref="D196:D245" si="66">(0.164*B196)-0.045</f>
        <v>0.33958000000000005</v>
      </c>
      <c r="E196">
        <f t="shared" ref="E196:E245" si="67">C196*2600*(1150*200+350000*0.45)</f>
        <v>935211875.00000012</v>
      </c>
      <c r="F196">
        <f t="shared" ref="F196:F245" si="68">D196*2600*(1150*350+350000*0.45)</f>
        <v>494428480.00000006</v>
      </c>
      <c r="G196">
        <f t="shared" ref="G196:G245" si="69">C196+G195</f>
        <v>223.5162</v>
      </c>
      <c r="H196">
        <f t="shared" ref="H196:H245" si="70">D196+H195</f>
        <v>81.709704000000016</v>
      </c>
      <c r="I196">
        <f t="shared" ref="I196:I245" si="71">(G196+H196)/2</f>
        <v>152.61295200000001</v>
      </c>
      <c r="J196">
        <f t="shared" ref="J196:J245" si="72">E196+J195</f>
        <v>225192571500</v>
      </c>
      <c r="K196">
        <f t="shared" ref="K196:K245" si="73">F196+K195</f>
        <v>118969329024</v>
      </c>
      <c r="L196">
        <f t="shared" ref="L196:L245" si="74">(J196+K196)/2</f>
        <v>172080950262</v>
      </c>
    </row>
    <row r="197" spans="1:12" x14ac:dyDescent="0.35">
      <c r="A197" s="1">
        <v>38935.739583333336</v>
      </c>
      <c r="B197">
        <v>1.621</v>
      </c>
      <c r="C197" s="2">
        <f t="shared" si="65"/>
        <v>0.60245000000000004</v>
      </c>
      <c r="D197">
        <f t="shared" si="66"/>
        <v>0.22084400000000004</v>
      </c>
      <c r="E197">
        <f t="shared" si="67"/>
        <v>606968375</v>
      </c>
      <c r="F197">
        <f t="shared" si="68"/>
        <v>321548864.00000006</v>
      </c>
      <c r="G197">
        <f t="shared" si="69"/>
        <v>224.11865</v>
      </c>
      <c r="H197">
        <f t="shared" si="70"/>
        <v>81.930548000000016</v>
      </c>
      <c r="I197">
        <f t="shared" si="71"/>
        <v>153.02459900000002</v>
      </c>
      <c r="J197">
        <f t="shared" si="72"/>
        <v>225799539875</v>
      </c>
      <c r="K197">
        <f t="shared" si="73"/>
        <v>119290877888</v>
      </c>
      <c r="L197">
        <f t="shared" si="74"/>
        <v>172545208881.5</v>
      </c>
    </row>
    <row r="198" spans="1:12" x14ac:dyDescent="0.35">
      <c r="A198" s="1">
        <v>38936.642361111109</v>
      </c>
      <c r="B198">
        <v>2.6859999999999999</v>
      </c>
      <c r="C198" s="2">
        <f t="shared" si="65"/>
        <v>1.0817000000000001</v>
      </c>
      <c r="D198">
        <f t="shared" si="66"/>
        <v>0.39550400000000002</v>
      </c>
      <c r="E198">
        <f t="shared" si="67"/>
        <v>1089812750</v>
      </c>
      <c r="F198">
        <f t="shared" si="68"/>
        <v>575853824</v>
      </c>
      <c r="G198">
        <f t="shared" si="69"/>
        <v>225.20035000000001</v>
      </c>
      <c r="H198">
        <f t="shared" si="70"/>
        <v>82.326052000000018</v>
      </c>
      <c r="I198">
        <f t="shared" si="71"/>
        <v>153.76320100000001</v>
      </c>
      <c r="J198">
        <f t="shared" si="72"/>
        <v>226889352625</v>
      </c>
      <c r="K198">
        <f t="shared" si="73"/>
        <v>119866731712</v>
      </c>
      <c r="L198">
        <f t="shared" si="74"/>
        <v>173378042168.5</v>
      </c>
    </row>
    <row r="199" spans="1:12" x14ac:dyDescent="0.35">
      <c r="A199" s="1">
        <v>38937.729166666664</v>
      </c>
      <c r="B199">
        <v>1.552</v>
      </c>
      <c r="C199" s="2">
        <f t="shared" si="65"/>
        <v>0.57140000000000002</v>
      </c>
      <c r="D199">
        <f t="shared" si="66"/>
        <v>0.20952800000000005</v>
      </c>
      <c r="E199">
        <f t="shared" si="67"/>
        <v>575685500</v>
      </c>
      <c r="F199">
        <f t="shared" si="68"/>
        <v>305072768.00000006</v>
      </c>
      <c r="G199">
        <f t="shared" si="69"/>
        <v>225.77175000000003</v>
      </c>
      <c r="H199">
        <f t="shared" si="70"/>
        <v>82.535580000000024</v>
      </c>
      <c r="I199">
        <f t="shared" si="71"/>
        <v>154.15366500000002</v>
      </c>
      <c r="J199">
        <f t="shared" si="72"/>
        <v>227465038125</v>
      </c>
      <c r="K199">
        <f t="shared" si="73"/>
        <v>120171804480</v>
      </c>
      <c r="L199">
        <f t="shared" si="74"/>
        <v>173818421302.5</v>
      </c>
    </row>
    <row r="200" spans="1:12" x14ac:dyDescent="0.35">
      <c r="A200" s="1">
        <v>38940.625</v>
      </c>
      <c r="B200">
        <v>0.90500000000000003</v>
      </c>
      <c r="C200" s="2">
        <f t="shared" si="65"/>
        <v>0.28025</v>
      </c>
      <c r="D200">
        <f t="shared" si="66"/>
        <v>0.10342000000000003</v>
      </c>
      <c r="E200">
        <f t="shared" si="67"/>
        <v>282351875</v>
      </c>
      <c r="F200">
        <f t="shared" si="68"/>
        <v>150579520.00000003</v>
      </c>
      <c r="G200">
        <f t="shared" si="69"/>
        <v>226.05200000000002</v>
      </c>
      <c r="H200">
        <f t="shared" si="70"/>
        <v>82.639000000000024</v>
      </c>
      <c r="I200">
        <f t="shared" si="71"/>
        <v>154.34550000000002</v>
      </c>
      <c r="J200">
        <f t="shared" si="72"/>
        <v>227747390000</v>
      </c>
      <c r="K200">
        <f t="shared" si="73"/>
        <v>120322384000</v>
      </c>
      <c r="L200">
        <f t="shared" si="74"/>
        <v>174034887000</v>
      </c>
    </row>
    <row r="201" spans="1:12" x14ac:dyDescent="0.35">
      <c r="A201" s="1">
        <v>38940.75</v>
      </c>
      <c r="B201">
        <v>0.81299999999999994</v>
      </c>
      <c r="C201" s="2">
        <f t="shared" si="65"/>
        <v>0.23885000000000001</v>
      </c>
      <c r="D201">
        <f t="shared" si="66"/>
        <v>8.8332000000000008E-2</v>
      </c>
      <c r="E201">
        <f t="shared" si="67"/>
        <v>240641375</v>
      </c>
      <c r="F201">
        <f t="shared" si="68"/>
        <v>128611392.00000001</v>
      </c>
      <c r="G201">
        <f t="shared" si="69"/>
        <v>226.29085000000003</v>
      </c>
      <c r="H201">
        <f t="shared" si="70"/>
        <v>82.727332000000018</v>
      </c>
      <c r="I201">
        <f t="shared" si="71"/>
        <v>154.50909100000001</v>
      </c>
      <c r="J201">
        <f t="shared" si="72"/>
        <v>227988031375</v>
      </c>
      <c r="K201">
        <f t="shared" si="73"/>
        <v>120450995392</v>
      </c>
      <c r="L201">
        <f t="shared" si="74"/>
        <v>174219513383.5</v>
      </c>
    </row>
    <row r="202" spans="1:12" x14ac:dyDescent="0.35">
      <c r="A202" s="1">
        <v>38944.607638888891</v>
      </c>
      <c r="B202">
        <v>1.593</v>
      </c>
      <c r="C202" s="2">
        <f t="shared" si="65"/>
        <v>0.58984999999999999</v>
      </c>
      <c r="D202">
        <f t="shared" si="66"/>
        <v>0.216252</v>
      </c>
      <c r="E202">
        <f t="shared" si="67"/>
        <v>594273875</v>
      </c>
      <c r="F202">
        <f t="shared" si="68"/>
        <v>314862911.99999994</v>
      </c>
      <c r="G202">
        <f t="shared" si="69"/>
        <v>226.88070000000005</v>
      </c>
      <c r="H202">
        <f t="shared" si="70"/>
        <v>82.943584000000016</v>
      </c>
      <c r="I202">
        <f t="shared" si="71"/>
        <v>154.91214200000002</v>
      </c>
      <c r="J202">
        <f t="shared" si="72"/>
        <v>228582305250</v>
      </c>
      <c r="K202">
        <f t="shared" si="73"/>
        <v>120765858304</v>
      </c>
      <c r="L202">
        <f t="shared" si="74"/>
        <v>174674081777</v>
      </c>
    </row>
    <row r="203" spans="1:12" x14ac:dyDescent="0.35">
      <c r="A203" s="1">
        <v>38945.638888888891</v>
      </c>
      <c r="B203">
        <v>0.82299999999999995</v>
      </c>
      <c r="C203" s="2">
        <f t="shared" si="65"/>
        <v>0.24335000000000001</v>
      </c>
      <c r="D203">
        <f t="shared" si="66"/>
        <v>8.997200000000001E-2</v>
      </c>
      <c r="E203">
        <f t="shared" si="67"/>
        <v>245175125</v>
      </c>
      <c r="F203">
        <f t="shared" si="68"/>
        <v>130999232.00000001</v>
      </c>
      <c r="G203">
        <f t="shared" si="69"/>
        <v>227.12405000000004</v>
      </c>
      <c r="H203">
        <f t="shared" si="70"/>
        <v>83.033556000000019</v>
      </c>
      <c r="I203">
        <f t="shared" si="71"/>
        <v>155.07880300000002</v>
      </c>
      <c r="J203">
        <f t="shared" si="72"/>
        <v>228827480375</v>
      </c>
      <c r="K203">
        <f t="shared" si="73"/>
        <v>120896857536</v>
      </c>
      <c r="L203">
        <f t="shared" si="74"/>
        <v>174862168955.5</v>
      </c>
    </row>
    <row r="204" spans="1:12" x14ac:dyDescent="0.35">
      <c r="A204" s="1">
        <v>38947.631944444445</v>
      </c>
      <c r="B204">
        <v>1.236</v>
      </c>
      <c r="C204" s="2">
        <f t="shared" si="65"/>
        <v>0.42920000000000003</v>
      </c>
      <c r="D204">
        <f t="shared" si="66"/>
        <v>0.15770400000000001</v>
      </c>
      <c r="E204">
        <f t="shared" si="67"/>
        <v>432419000</v>
      </c>
      <c r="F204">
        <f t="shared" si="68"/>
        <v>229617024.00000003</v>
      </c>
      <c r="G204">
        <f t="shared" si="69"/>
        <v>227.55325000000005</v>
      </c>
      <c r="H204">
        <f t="shared" si="70"/>
        <v>83.191260000000014</v>
      </c>
      <c r="I204">
        <f t="shared" si="71"/>
        <v>155.37225500000002</v>
      </c>
      <c r="J204">
        <f t="shared" si="72"/>
        <v>229259899375</v>
      </c>
      <c r="K204">
        <f t="shared" si="73"/>
        <v>121126474560</v>
      </c>
      <c r="L204">
        <f t="shared" si="74"/>
        <v>175193186967.5</v>
      </c>
    </row>
    <row r="205" spans="1:12" x14ac:dyDescent="0.35">
      <c r="A205" s="1">
        <v>38947.756944444445</v>
      </c>
      <c r="B205">
        <v>1.9810000000000001</v>
      </c>
      <c r="C205" s="2">
        <f t="shared" si="65"/>
        <v>0.76445000000000007</v>
      </c>
      <c r="D205">
        <f t="shared" si="66"/>
        <v>0.27988400000000002</v>
      </c>
      <c r="E205">
        <f t="shared" si="67"/>
        <v>770183375.00000012</v>
      </c>
      <c r="F205">
        <f t="shared" si="68"/>
        <v>407511104.00000006</v>
      </c>
      <c r="G205">
        <f t="shared" si="69"/>
        <v>228.31770000000006</v>
      </c>
      <c r="H205">
        <f t="shared" si="70"/>
        <v>83.47114400000001</v>
      </c>
      <c r="I205">
        <f t="shared" si="71"/>
        <v>155.89442200000002</v>
      </c>
      <c r="J205">
        <f t="shared" si="72"/>
        <v>230030082750</v>
      </c>
      <c r="K205">
        <f t="shared" si="73"/>
        <v>121533985664</v>
      </c>
      <c r="L205">
        <f t="shared" si="74"/>
        <v>175782034207</v>
      </c>
    </row>
    <row r="206" spans="1:12" x14ac:dyDescent="0.35">
      <c r="A206" s="1">
        <v>38949.621527777781</v>
      </c>
      <c r="B206">
        <v>0.877</v>
      </c>
      <c r="C206" s="2">
        <f t="shared" si="65"/>
        <v>0.26765</v>
      </c>
      <c r="D206">
        <f t="shared" si="66"/>
        <v>9.8828000000000013E-2</v>
      </c>
      <c r="E206">
        <f t="shared" si="67"/>
        <v>269657375</v>
      </c>
      <c r="F206">
        <f t="shared" si="68"/>
        <v>143893568</v>
      </c>
      <c r="G206">
        <f t="shared" si="69"/>
        <v>228.58535000000006</v>
      </c>
      <c r="H206">
        <f t="shared" si="70"/>
        <v>83.569972000000007</v>
      </c>
      <c r="I206">
        <f t="shared" si="71"/>
        <v>156.07766100000003</v>
      </c>
      <c r="J206">
        <f t="shared" si="72"/>
        <v>230299740125</v>
      </c>
      <c r="K206">
        <f t="shared" si="73"/>
        <v>121677879232</v>
      </c>
      <c r="L206">
        <f t="shared" si="74"/>
        <v>175988809678.5</v>
      </c>
    </row>
    <row r="207" spans="1:12" x14ac:dyDescent="0.35">
      <c r="A207" s="1">
        <v>38949.746527777781</v>
      </c>
      <c r="B207">
        <v>1.2430000000000001</v>
      </c>
      <c r="C207" s="2">
        <f t="shared" si="65"/>
        <v>0.43235000000000001</v>
      </c>
      <c r="D207">
        <f t="shared" si="66"/>
        <v>0.15885200000000005</v>
      </c>
      <c r="E207">
        <f t="shared" si="67"/>
        <v>435592625.00000006</v>
      </c>
      <c r="F207">
        <f t="shared" si="68"/>
        <v>231288512.00000006</v>
      </c>
      <c r="G207">
        <f t="shared" si="69"/>
        <v>229.01770000000008</v>
      </c>
      <c r="H207">
        <f t="shared" si="70"/>
        <v>83.728824000000003</v>
      </c>
      <c r="I207">
        <f t="shared" si="71"/>
        <v>156.37326200000004</v>
      </c>
      <c r="J207">
        <f t="shared" si="72"/>
        <v>230735332750</v>
      </c>
      <c r="K207">
        <f t="shared" si="73"/>
        <v>121909167744</v>
      </c>
      <c r="L207">
        <f t="shared" si="74"/>
        <v>176322250247</v>
      </c>
    </row>
    <row r="208" spans="1:12" x14ac:dyDescent="0.35">
      <c r="A208" s="1">
        <v>38954.121527777781</v>
      </c>
      <c r="B208">
        <v>3.91</v>
      </c>
      <c r="C208" s="2">
        <f t="shared" si="65"/>
        <v>1.6325000000000001</v>
      </c>
      <c r="D208">
        <f t="shared" si="66"/>
        <v>0.59623999999999999</v>
      </c>
      <c r="E208">
        <f t="shared" si="67"/>
        <v>1644743750</v>
      </c>
      <c r="F208">
        <f t="shared" si="68"/>
        <v>868125440</v>
      </c>
      <c r="G208">
        <f t="shared" si="69"/>
        <v>230.65020000000007</v>
      </c>
      <c r="H208">
        <f t="shared" si="70"/>
        <v>84.325063999999998</v>
      </c>
      <c r="I208">
        <f t="shared" si="71"/>
        <v>157.48763200000002</v>
      </c>
      <c r="J208">
        <f t="shared" si="72"/>
        <v>232380076500</v>
      </c>
      <c r="K208">
        <f t="shared" si="73"/>
        <v>122777293184</v>
      </c>
      <c r="L208">
        <f t="shared" si="74"/>
        <v>177578684842</v>
      </c>
    </row>
    <row r="209" spans="1:30" x14ac:dyDescent="0.35">
      <c r="A209" s="1">
        <v>38954.635416666664</v>
      </c>
      <c r="B209">
        <v>0.93700000000000006</v>
      </c>
      <c r="C209" s="2">
        <f t="shared" si="65"/>
        <v>0.29465000000000002</v>
      </c>
      <c r="D209">
        <f t="shared" si="66"/>
        <v>0.10866800000000003</v>
      </c>
      <c r="E209">
        <f t="shared" si="67"/>
        <v>296859875</v>
      </c>
      <c r="F209">
        <f t="shared" si="68"/>
        <v>158220608.00000006</v>
      </c>
      <c r="G209">
        <f t="shared" si="69"/>
        <v>230.94485000000006</v>
      </c>
      <c r="H209">
        <f t="shared" si="70"/>
        <v>84.433731999999992</v>
      </c>
      <c r="I209">
        <f t="shared" si="71"/>
        <v>157.68929100000003</v>
      </c>
      <c r="J209">
        <f t="shared" si="72"/>
        <v>232676936375</v>
      </c>
      <c r="K209">
        <f t="shared" si="73"/>
        <v>122935513792</v>
      </c>
      <c r="L209">
        <f t="shared" si="74"/>
        <v>177806225083.5</v>
      </c>
    </row>
    <row r="210" spans="1:30" x14ac:dyDescent="0.35">
      <c r="A210" s="1">
        <v>38956.625</v>
      </c>
      <c r="B210">
        <v>2.6579999999999999</v>
      </c>
      <c r="C210" s="2">
        <f t="shared" si="65"/>
        <v>1.0690999999999999</v>
      </c>
      <c r="D210">
        <f t="shared" si="66"/>
        <v>0.39091200000000004</v>
      </c>
      <c r="E210">
        <f t="shared" si="67"/>
        <v>1077118250</v>
      </c>
      <c r="F210">
        <f t="shared" si="68"/>
        <v>569167872</v>
      </c>
      <c r="G210">
        <f t="shared" si="69"/>
        <v>232.01395000000005</v>
      </c>
      <c r="H210">
        <f t="shared" si="70"/>
        <v>84.824643999999992</v>
      </c>
      <c r="I210">
        <f t="shared" si="71"/>
        <v>158.41929700000003</v>
      </c>
      <c r="J210">
        <f t="shared" si="72"/>
        <v>233754054625</v>
      </c>
      <c r="K210">
        <f t="shared" si="73"/>
        <v>123504681664</v>
      </c>
      <c r="L210">
        <f t="shared" si="74"/>
        <v>178629368144.5</v>
      </c>
    </row>
    <row r="211" spans="1:30" x14ac:dyDescent="0.35">
      <c r="A211" s="1">
        <v>38956.75</v>
      </c>
      <c r="B211">
        <v>1.631</v>
      </c>
      <c r="C211" s="2">
        <f t="shared" si="65"/>
        <v>0.60694999999999999</v>
      </c>
      <c r="D211">
        <f t="shared" si="66"/>
        <v>0.22248400000000002</v>
      </c>
      <c r="E211">
        <f t="shared" si="67"/>
        <v>611502125</v>
      </c>
      <c r="F211">
        <f t="shared" si="68"/>
        <v>323936704</v>
      </c>
      <c r="G211">
        <f t="shared" si="69"/>
        <v>232.62090000000006</v>
      </c>
      <c r="H211">
        <f t="shared" si="70"/>
        <v>85.047127999999987</v>
      </c>
      <c r="I211">
        <f t="shared" si="71"/>
        <v>158.83401400000002</v>
      </c>
      <c r="J211">
        <f t="shared" si="72"/>
        <v>234365556750</v>
      </c>
      <c r="K211">
        <f t="shared" si="73"/>
        <v>123828618368</v>
      </c>
      <c r="L211">
        <f t="shared" si="74"/>
        <v>179097087559</v>
      </c>
    </row>
    <row r="212" spans="1:30" x14ac:dyDescent="0.35">
      <c r="A212" s="1">
        <v>38960.736111111109</v>
      </c>
      <c r="B212">
        <v>1.7360000000000002</v>
      </c>
      <c r="C212" s="2">
        <f t="shared" si="65"/>
        <v>0.65420000000000011</v>
      </c>
      <c r="D212">
        <f t="shared" si="66"/>
        <v>0.23970400000000008</v>
      </c>
      <c r="E212">
        <f t="shared" si="67"/>
        <v>659106500.00000012</v>
      </c>
      <c r="F212">
        <f t="shared" si="68"/>
        <v>349009024.00000012</v>
      </c>
      <c r="G212">
        <f t="shared" si="69"/>
        <v>233.27510000000007</v>
      </c>
      <c r="H212">
        <f t="shared" si="70"/>
        <v>85.28683199999999</v>
      </c>
      <c r="I212">
        <f t="shared" si="71"/>
        <v>159.28096600000003</v>
      </c>
      <c r="J212">
        <f t="shared" si="72"/>
        <v>235024663250</v>
      </c>
      <c r="K212">
        <f t="shared" si="73"/>
        <v>124177627392</v>
      </c>
      <c r="L212">
        <f t="shared" si="74"/>
        <v>179601145321</v>
      </c>
    </row>
    <row r="213" spans="1:30" x14ac:dyDescent="0.35">
      <c r="A213" s="1">
        <v>38963.631944444445</v>
      </c>
      <c r="B213">
        <v>1.1000000000000001</v>
      </c>
      <c r="C213" s="2">
        <f t="shared" si="65"/>
        <v>0.36800000000000005</v>
      </c>
      <c r="D213">
        <f t="shared" si="66"/>
        <v>0.13540000000000002</v>
      </c>
      <c r="E213">
        <f t="shared" si="67"/>
        <v>370760000.00000006</v>
      </c>
      <c r="F213">
        <f t="shared" si="68"/>
        <v>197142400.00000003</v>
      </c>
      <c r="G213">
        <f t="shared" si="69"/>
        <v>233.64310000000006</v>
      </c>
      <c r="H213">
        <f t="shared" si="70"/>
        <v>85.422231999999994</v>
      </c>
      <c r="I213">
        <f t="shared" si="71"/>
        <v>159.53266600000003</v>
      </c>
      <c r="J213">
        <f t="shared" si="72"/>
        <v>235395423250</v>
      </c>
      <c r="K213">
        <f t="shared" si="73"/>
        <v>124374769792</v>
      </c>
      <c r="L213">
        <f t="shared" si="74"/>
        <v>179885096521</v>
      </c>
    </row>
    <row r="214" spans="1:30" x14ac:dyDescent="0.35">
      <c r="A214" s="1">
        <v>38965.746527777781</v>
      </c>
      <c r="B214">
        <v>1.0660000000000001</v>
      </c>
      <c r="C214" s="2">
        <f t="shared" si="65"/>
        <v>0.35270000000000001</v>
      </c>
      <c r="D214">
        <f t="shared" si="66"/>
        <v>0.12982399999999999</v>
      </c>
      <c r="E214">
        <f t="shared" si="67"/>
        <v>355345250</v>
      </c>
      <c r="F214">
        <f t="shared" si="68"/>
        <v>189023744</v>
      </c>
      <c r="G214">
        <f t="shared" si="69"/>
        <v>233.99580000000006</v>
      </c>
      <c r="H214">
        <f t="shared" si="70"/>
        <v>85.552055999999993</v>
      </c>
      <c r="I214">
        <f t="shared" si="71"/>
        <v>159.77392800000001</v>
      </c>
      <c r="J214">
        <f t="shared" si="72"/>
        <v>235750768500</v>
      </c>
      <c r="K214">
        <f t="shared" si="73"/>
        <v>124563793536</v>
      </c>
      <c r="L214">
        <f t="shared" si="74"/>
        <v>180157281018</v>
      </c>
    </row>
    <row r="215" spans="1:30" x14ac:dyDescent="0.35">
      <c r="A215" s="1">
        <v>39050.635416666664</v>
      </c>
      <c r="B215">
        <v>3.3470000000000004</v>
      </c>
      <c r="C215" s="2">
        <f t="shared" si="65"/>
        <v>1.3791500000000003</v>
      </c>
      <c r="D215">
        <f t="shared" si="66"/>
        <v>0.50390800000000002</v>
      </c>
      <c r="E215">
        <f t="shared" si="67"/>
        <v>1389493625.0000002</v>
      </c>
      <c r="F215">
        <f t="shared" si="68"/>
        <v>733690048.00000012</v>
      </c>
      <c r="G215">
        <f t="shared" si="69"/>
        <v>235.37495000000007</v>
      </c>
      <c r="H215">
        <f t="shared" si="70"/>
        <v>86.055963999999989</v>
      </c>
      <c r="I215">
        <f t="shared" si="71"/>
        <v>160.71545700000001</v>
      </c>
      <c r="J215">
        <f t="shared" si="72"/>
        <v>237140262125</v>
      </c>
      <c r="K215">
        <f t="shared" si="73"/>
        <v>125297483584</v>
      </c>
      <c r="L215">
        <f t="shared" si="74"/>
        <v>181218872854.5</v>
      </c>
    </row>
    <row r="216" spans="1:30" x14ac:dyDescent="0.35">
      <c r="A216" s="1">
        <v>39050.760416666664</v>
      </c>
      <c r="B216">
        <v>0.74299999999999999</v>
      </c>
      <c r="C216" s="2">
        <f t="shared" si="65"/>
        <v>0.20734999999999998</v>
      </c>
      <c r="D216">
        <f t="shared" si="66"/>
        <v>7.6852000000000004E-2</v>
      </c>
      <c r="E216">
        <f t="shared" si="67"/>
        <v>208905124.99999997</v>
      </c>
      <c r="F216">
        <f t="shared" si="68"/>
        <v>111896512</v>
      </c>
      <c r="G216">
        <f t="shared" si="69"/>
        <v>235.58230000000006</v>
      </c>
      <c r="H216">
        <f t="shared" si="70"/>
        <v>86.132815999999991</v>
      </c>
      <c r="I216">
        <f t="shared" si="71"/>
        <v>160.85755800000004</v>
      </c>
      <c r="J216">
        <f t="shared" si="72"/>
        <v>237349167250</v>
      </c>
      <c r="K216">
        <f t="shared" si="73"/>
        <v>125409380096</v>
      </c>
      <c r="L216">
        <f t="shared" si="74"/>
        <v>181379273673</v>
      </c>
    </row>
    <row r="217" spans="1:30" x14ac:dyDescent="0.35">
      <c r="A217" s="1">
        <v>39087.649305555555</v>
      </c>
      <c r="B217">
        <v>1.653</v>
      </c>
      <c r="C217" s="2">
        <f t="shared" si="65"/>
        <v>0.61685000000000001</v>
      </c>
      <c r="D217">
        <f t="shared" si="66"/>
        <v>0.22609200000000002</v>
      </c>
      <c r="E217">
        <f t="shared" si="67"/>
        <v>621476375</v>
      </c>
      <c r="F217">
        <f t="shared" si="68"/>
        <v>329189952</v>
      </c>
      <c r="G217">
        <f t="shared" si="69"/>
        <v>236.19915000000006</v>
      </c>
      <c r="H217">
        <f t="shared" si="70"/>
        <v>86.358907999999985</v>
      </c>
      <c r="I217">
        <f t="shared" si="71"/>
        <v>161.27902900000004</v>
      </c>
      <c r="J217">
        <f t="shared" si="72"/>
        <v>237970643625</v>
      </c>
      <c r="K217">
        <f t="shared" si="73"/>
        <v>125738570048</v>
      </c>
      <c r="L217">
        <f t="shared" si="74"/>
        <v>181854606836.5</v>
      </c>
    </row>
    <row r="218" spans="1:30" x14ac:dyDescent="0.35">
      <c r="A218" s="1">
        <v>40480.736111111109</v>
      </c>
      <c r="B218">
        <v>1.698</v>
      </c>
      <c r="C218" s="2">
        <f t="shared" si="65"/>
        <v>0.6371</v>
      </c>
      <c r="D218">
        <f t="shared" si="66"/>
        <v>0.23347200000000001</v>
      </c>
      <c r="E218">
        <f t="shared" si="67"/>
        <v>641878250</v>
      </c>
      <c r="F218">
        <f t="shared" si="68"/>
        <v>339935232</v>
      </c>
      <c r="G218">
        <f t="shared" si="69"/>
        <v>236.83625000000006</v>
      </c>
      <c r="H218">
        <f t="shared" si="70"/>
        <v>86.592379999999991</v>
      </c>
      <c r="I218">
        <f t="shared" si="71"/>
        <v>161.71431500000003</v>
      </c>
      <c r="J218">
        <f t="shared" si="72"/>
        <v>238612521875</v>
      </c>
      <c r="K218">
        <f t="shared" si="73"/>
        <v>126078505280</v>
      </c>
      <c r="L218">
        <f t="shared" si="74"/>
        <v>182345513577.5</v>
      </c>
    </row>
    <row r="219" spans="1:30" x14ac:dyDescent="0.35">
      <c r="A219" s="1"/>
      <c r="C219" s="2"/>
    </row>
    <row r="220" spans="1:30" x14ac:dyDescent="0.35">
      <c r="A220" s="1"/>
      <c r="C220" s="2"/>
    </row>
    <row r="221" spans="1:30" x14ac:dyDescent="0.35">
      <c r="A221" s="1"/>
      <c r="C221" s="2"/>
    </row>
    <row r="222" spans="1:30" x14ac:dyDescent="0.35">
      <c r="A222" s="1"/>
      <c r="C222" s="2"/>
    </row>
    <row r="223" spans="1:30" x14ac:dyDescent="0.35">
      <c r="A223" s="9" t="s">
        <v>50</v>
      </c>
      <c r="B223" s="10">
        <v>0.81599999999999995</v>
      </c>
      <c r="C223" s="11">
        <f t="shared" si="65"/>
        <v>0.24019999999999997</v>
      </c>
      <c r="D223" s="9">
        <f t="shared" si="66"/>
        <v>8.8824E-2</v>
      </c>
      <c r="E223" s="9">
        <f t="shared" si="67"/>
        <v>242001499.99999994</v>
      </c>
      <c r="F223" s="9">
        <f t="shared" si="68"/>
        <v>129327744</v>
      </c>
      <c r="G223" s="9">
        <f t="shared" si="69"/>
        <v>0.24019999999999997</v>
      </c>
      <c r="H223" s="9">
        <f>D223+H222</f>
        <v>8.8824E-2</v>
      </c>
      <c r="I223" s="9">
        <f t="shared" si="71"/>
        <v>0.16451199999999999</v>
      </c>
      <c r="J223" s="9">
        <f>E223+J222</f>
        <v>242001499.99999994</v>
      </c>
      <c r="K223" s="9">
        <f>F223+K222</f>
        <v>129327744</v>
      </c>
      <c r="L223" s="9">
        <f t="shared" si="74"/>
        <v>185664621.99999997</v>
      </c>
      <c r="M223" s="9" t="s">
        <v>50</v>
      </c>
      <c r="N223" s="9">
        <v>0</v>
      </c>
      <c r="O223" s="9">
        <f t="shared" ref="O223:O245" si="75">(N223*C223)+O222</f>
        <v>0</v>
      </c>
      <c r="P223" s="9">
        <f t="shared" ref="P223:P245" si="76">(N223*D223)+P222</f>
        <v>0</v>
      </c>
      <c r="Q223" s="9">
        <f t="shared" ref="Q223:Q245" si="77">(O223+P223)/2</f>
        <v>0</v>
      </c>
      <c r="R223" s="9">
        <f t="shared" ref="R223:R245" si="78">(N223*F223)+R222</f>
        <v>0</v>
      </c>
      <c r="S223" s="9">
        <f t="shared" ref="S223:S245" si="79">(N223*G223)+S222</f>
        <v>0</v>
      </c>
      <c r="T223" s="9">
        <f t="shared" ref="T223:T245" si="80">(R223+S223)/2</f>
        <v>0</v>
      </c>
      <c r="U223" s="9"/>
      <c r="V223" s="9" t="s">
        <v>50</v>
      </c>
      <c r="W223" s="9">
        <v>0</v>
      </c>
      <c r="X223" s="9">
        <v>0.2402</v>
      </c>
      <c r="Y223" s="9">
        <v>8.8824E-2</v>
      </c>
      <c r="Z223" s="9">
        <v>0.16451199999999999</v>
      </c>
      <c r="AA223" s="9">
        <v>242001500</v>
      </c>
      <c r="AB223" s="9">
        <v>129327744</v>
      </c>
      <c r="AC223" s="9">
        <v>185664622</v>
      </c>
      <c r="AD223" s="9"/>
    </row>
    <row r="224" spans="1:30" x14ac:dyDescent="0.35">
      <c r="A224" s="9" t="s">
        <v>51</v>
      </c>
      <c r="B224" s="10">
        <v>0.89600000000000002</v>
      </c>
      <c r="C224" s="11">
        <f t="shared" si="65"/>
        <v>0.2762</v>
      </c>
      <c r="D224" s="9">
        <f t="shared" si="66"/>
        <v>0.10194400000000002</v>
      </c>
      <c r="E224" s="9">
        <f t="shared" si="67"/>
        <v>278271500</v>
      </c>
      <c r="F224" s="9">
        <f t="shared" si="68"/>
        <v>148430464.00000003</v>
      </c>
      <c r="G224" s="9">
        <f t="shared" si="69"/>
        <v>0.51639999999999997</v>
      </c>
      <c r="H224" s="9">
        <f t="shared" si="70"/>
        <v>0.19076800000000002</v>
      </c>
      <c r="I224" s="9">
        <f t="shared" si="71"/>
        <v>0.35358400000000001</v>
      </c>
      <c r="J224" s="9">
        <f t="shared" si="72"/>
        <v>520272999.99999994</v>
      </c>
      <c r="K224" s="9">
        <f t="shared" si="73"/>
        <v>277758208</v>
      </c>
      <c r="L224" s="9">
        <f t="shared" si="74"/>
        <v>399015604</v>
      </c>
      <c r="M224" s="9" t="s">
        <v>51</v>
      </c>
      <c r="N224" s="9">
        <f>ABS((M224-M223)*24*60*60)</f>
        <v>25200.000000419095</v>
      </c>
      <c r="O224" s="9">
        <f t="shared" si="75"/>
        <v>6960.2400001157539</v>
      </c>
      <c r="P224" s="9">
        <f t="shared" si="76"/>
        <v>2568.988800042725</v>
      </c>
      <c r="Q224" s="9">
        <f t="shared" si="77"/>
        <v>4764.6144000792392</v>
      </c>
      <c r="R224" s="9">
        <f t="shared" si="78"/>
        <v>3740447692862.207</v>
      </c>
      <c r="S224" s="9">
        <f t="shared" si="79"/>
        <v>13013.28000021642</v>
      </c>
      <c r="T224" s="9">
        <f t="shared" si="80"/>
        <v>1870223852937.7434</v>
      </c>
      <c r="U224" s="9"/>
      <c r="V224" s="9" t="s">
        <v>51</v>
      </c>
      <c r="W224" s="9">
        <f>ABS((V224-V223)*24*60*60)</f>
        <v>25200.000000419095</v>
      </c>
      <c r="X224" s="9">
        <f t="shared" ref="X224:X231" si="81">(W224*C223)+X223</f>
        <v>6053.2802001006658</v>
      </c>
      <c r="Y224" s="9">
        <f t="shared" ref="Y224:Y231" si="82">(W224*D223)+Y223</f>
        <v>2238.4536240372258</v>
      </c>
      <c r="Z224" s="9">
        <f t="shared" ref="Z224:Z231" si="83">(X224+Y224)/2</f>
        <v>4145.8669120689456</v>
      </c>
      <c r="AA224" s="9">
        <f t="shared" ref="AA224:AA231" si="84">(W224*E223)+AA223</f>
        <v>6098679801601.4199</v>
      </c>
      <c r="AB224" s="9">
        <f t="shared" ref="AB224:AB231" si="85">(W224*F223)+AB223</f>
        <v>3259188476598.2007</v>
      </c>
      <c r="AC224" s="9">
        <f t="shared" ref="AC224:AC231" si="86">(AA224+AB224)/2</f>
        <v>4678934139099.8105</v>
      </c>
      <c r="AD224" s="9"/>
    </row>
    <row r="225" spans="1:29" x14ac:dyDescent="0.35">
      <c r="A225" t="s">
        <v>52</v>
      </c>
      <c r="B225" s="8">
        <v>1.0409999999999999</v>
      </c>
      <c r="C225" s="2">
        <f t="shared" si="65"/>
        <v>0.34144999999999998</v>
      </c>
      <c r="D225">
        <f t="shared" si="66"/>
        <v>0.125724</v>
      </c>
      <c r="E225">
        <f t="shared" si="67"/>
        <v>344010875</v>
      </c>
      <c r="F225">
        <f t="shared" si="68"/>
        <v>183054144</v>
      </c>
      <c r="G225">
        <f t="shared" si="69"/>
        <v>0.85785</v>
      </c>
      <c r="H225">
        <f t="shared" si="70"/>
        <v>0.316492</v>
      </c>
      <c r="I225">
        <f t="shared" si="71"/>
        <v>0.587171</v>
      </c>
      <c r="J225">
        <f t="shared" si="72"/>
        <v>864283875</v>
      </c>
      <c r="K225">
        <f t="shared" si="73"/>
        <v>460812352</v>
      </c>
      <c r="L225">
        <f t="shared" si="74"/>
        <v>662548113.5</v>
      </c>
      <c r="M225" t="s">
        <v>52</v>
      </c>
      <c r="N225">
        <f t="shared" ref="N225:N245" si="87">ABS((M225-M224)*24*60*60)</f>
        <v>431699.99999965075</v>
      </c>
      <c r="O225">
        <f t="shared" si="75"/>
        <v>154364.20499999649</v>
      </c>
      <c r="P225">
        <f t="shared" si="76"/>
        <v>56844.039599998818</v>
      </c>
      <c r="Q225">
        <f t="shared" si="77"/>
        <v>105604.12229999766</v>
      </c>
      <c r="R225">
        <f t="shared" si="78"/>
        <v>82764921657598.266</v>
      </c>
      <c r="S225">
        <f t="shared" si="79"/>
        <v>383347.12499991682</v>
      </c>
      <c r="T225">
        <f t="shared" si="80"/>
        <v>41382461020472.695</v>
      </c>
      <c r="V225" t="s">
        <v>52</v>
      </c>
      <c r="W225">
        <f t="shared" ref="W225:W245" si="88">ABS((V225-V224)*24*60*60)</f>
        <v>431699.99999965075</v>
      </c>
      <c r="X225">
        <f t="shared" si="81"/>
        <v>125288.82020000421</v>
      </c>
      <c r="Y225">
        <f t="shared" si="82"/>
        <v>46247.678424001628</v>
      </c>
      <c r="Z225">
        <f t="shared" si="83"/>
        <v>85768.24931200291</v>
      </c>
      <c r="AA225">
        <f t="shared" si="84"/>
        <v>126228486351504.23</v>
      </c>
      <c r="AB225">
        <f t="shared" si="85"/>
        <v>67336619785346.375</v>
      </c>
      <c r="AC225">
        <f t="shared" si="86"/>
        <v>96782553068425.313</v>
      </c>
    </row>
    <row r="226" spans="1:29" x14ac:dyDescent="0.35">
      <c r="A226" t="s">
        <v>53</v>
      </c>
      <c r="B226" s="8">
        <v>2.4660000000000002</v>
      </c>
      <c r="C226" s="2">
        <f t="shared" si="65"/>
        <v>0.98270000000000013</v>
      </c>
      <c r="D226">
        <f t="shared" si="66"/>
        <v>0.35942400000000008</v>
      </c>
      <c r="E226">
        <f t="shared" si="67"/>
        <v>990070250.00000012</v>
      </c>
      <c r="F226">
        <f t="shared" si="68"/>
        <v>523321344.00000012</v>
      </c>
      <c r="G226">
        <f t="shared" si="69"/>
        <v>1.8405500000000001</v>
      </c>
      <c r="H226">
        <f t="shared" si="70"/>
        <v>0.67591600000000007</v>
      </c>
      <c r="I226">
        <f t="shared" si="71"/>
        <v>1.2582330000000002</v>
      </c>
      <c r="J226">
        <f t="shared" si="72"/>
        <v>1854354125</v>
      </c>
      <c r="K226">
        <f t="shared" si="73"/>
        <v>984133696.00000012</v>
      </c>
      <c r="L226">
        <f t="shared" si="74"/>
        <v>1419243910.5</v>
      </c>
      <c r="M226" t="s">
        <v>53</v>
      </c>
      <c r="N226">
        <f t="shared" si="87"/>
        <v>260400.0000001397</v>
      </c>
      <c r="O226">
        <f t="shared" si="75"/>
        <v>410259.28500013379</v>
      </c>
      <c r="P226">
        <f t="shared" si="76"/>
        <v>150438.04920004905</v>
      </c>
      <c r="Q226">
        <f t="shared" si="77"/>
        <v>280348.66710009141</v>
      </c>
      <c r="R226">
        <f t="shared" si="78"/>
        <v>219037799635271.41</v>
      </c>
      <c r="S226">
        <f t="shared" si="79"/>
        <v>862626.3450001739</v>
      </c>
      <c r="T226">
        <f t="shared" si="80"/>
        <v>109518900248948.88</v>
      </c>
      <c r="V226" t="s">
        <v>53</v>
      </c>
      <c r="W226">
        <f t="shared" si="88"/>
        <v>260400.0000001397</v>
      </c>
      <c r="X226">
        <f t="shared" si="81"/>
        <v>214202.4002000519</v>
      </c>
      <c r="Y226">
        <f t="shared" si="82"/>
        <v>78986.208024019201</v>
      </c>
      <c r="Z226">
        <f t="shared" si="83"/>
        <v>146594.30411203555</v>
      </c>
      <c r="AA226">
        <f t="shared" si="84"/>
        <v>215808918201552.31</v>
      </c>
      <c r="AB226">
        <f t="shared" si="85"/>
        <v>115003918882971.94</v>
      </c>
      <c r="AC226">
        <f t="shared" si="86"/>
        <v>165406418542262.13</v>
      </c>
    </row>
    <row r="227" spans="1:29" x14ac:dyDescent="0.35">
      <c r="A227" t="s">
        <v>54</v>
      </c>
      <c r="B227" s="8">
        <v>1.5269999999999999</v>
      </c>
      <c r="C227" s="2">
        <f t="shared" si="65"/>
        <v>0.56014999999999993</v>
      </c>
      <c r="D227">
        <f t="shared" si="66"/>
        <v>0.205428</v>
      </c>
      <c r="E227">
        <f t="shared" si="67"/>
        <v>564351125</v>
      </c>
      <c r="F227">
        <f t="shared" si="68"/>
        <v>299103168</v>
      </c>
      <c r="G227">
        <f t="shared" si="69"/>
        <v>2.4007000000000001</v>
      </c>
      <c r="H227">
        <f t="shared" si="70"/>
        <v>0.88134400000000013</v>
      </c>
      <c r="I227">
        <f t="shared" si="71"/>
        <v>1.641022</v>
      </c>
      <c r="J227">
        <f t="shared" si="72"/>
        <v>2418705250</v>
      </c>
      <c r="K227">
        <f t="shared" si="73"/>
        <v>1283236864</v>
      </c>
      <c r="L227">
        <f t="shared" si="74"/>
        <v>1850971057</v>
      </c>
      <c r="M227" t="s">
        <v>54</v>
      </c>
      <c r="N227">
        <f t="shared" si="87"/>
        <v>234600.0000002794</v>
      </c>
      <c r="O227">
        <f t="shared" si="75"/>
        <v>541670.47500029032</v>
      </c>
      <c r="P227">
        <f t="shared" si="76"/>
        <v>198631.45800010645</v>
      </c>
      <c r="Q227">
        <f t="shared" si="77"/>
        <v>370150.96650019835</v>
      </c>
      <c r="R227">
        <f t="shared" si="78"/>
        <v>289207402848155</v>
      </c>
      <c r="S227">
        <f t="shared" si="79"/>
        <v>1425830.5650008447</v>
      </c>
      <c r="T227">
        <f t="shared" si="80"/>
        <v>144603702136992.78</v>
      </c>
      <c r="V227" t="s">
        <v>54</v>
      </c>
      <c r="W227">
        <f t="shared" si="88"/>
        <v>234600.0000002794</v>
      </c>
      <c r="X227">
        <f t="shared" si="81"/>
        <v>444743.8202003265</v>
      </c>
      <c r="Y227">
        <f t="shared" si="82"/>
        <v>163307.07842411962</v>
      </c>
      <c r="Z227">
        <f t="shared" si="83"/>
        <v>304025.44931222306</v>
      </c>
      <c r="AA227">
        <f t="shared" si="84"/>
        <v>448079398851829</v>
      </c>
      <c r="AB227">
        <f t="shared" si="85"/>
        <v>237775106185518.19</v>
      </c>
      <c r="AC227">
        <f t="shared" si="86"/>
        <v>342927252518673.63</v>
      </c>
    </row>
    <row r="228" spans="1:29" x14ac:dyDescent="0.35">
      <c r="A228" t="s">
        <v>55</v>
      </c>
      <c r="B228" s="8">
        <v>3.0760000000000001</v>
      </c>
      <c r="C228" s="2">
        <f t="shared" si="65"/>
        <v>1.2572000000000001</v>
      </c>
      <c r="D228">
        <f t="shared" si="66"/>
        <v>0.45946400000000004</v>
      </c>
      <c r="E228">
        <f t="shared" si="67"/>
        <v>1266629000</v>
      </c>
      <c r="F228">
        <f t="shared" si="68"/>
        <v>668979584.00000012</v>
      </c>
      <c r="G228">
        <f t="shared" si="69"/>
        <v>3.6579000000000002</v>
      </c>
      <c r="H228">
        <f t="shared" si="70"/>
        <v>1.3408080000000002</v>
      </c>
      <c r="I228">
        <f t="shared" si="71"/>
        <v>2.4993540000000003</v>
      </c>
      <c r="J228">
        <f t="shared" si="72"/>
        <v>3685334250</v>
      </c>
      <c r="K228">
        <f t="shared" si="73"/>
        <v>1952216448</v>
      </c>
      <c r="L228">
        <f t="shared" si="74"/>
        <v>2818775349</v>
      </c>
      <c r="M228" t="s">
        <v>55</v>
      </c>
      <c r="N228">
        <f t="shared" si="87"/>
        <v>800999.9999995809</v>
      </c>
      <c r="O228">
        <f t="shared" si="75"/>
        <v>1548687.6749997635</v>
      </c>
      <c r="P228">
        <f t="shared" si="76"/>
        <v>566662.12199991394</v>
      </c>
      <c r="Q228">
        <f t="shared" si="77"/>
        <v>1057674.8984998388</v>
      </c>
      <c r="R228">
        <f t="shared" si="78"/>
        <v>825060049631874.75</v>
      </c>
      <c r="S228">
        <f t="shared" si="79"/>
        <v>4355808.4649993116</v>
      </c>
      <c r="T228">
        <f t="shared" si="80"/>
        <v>412530026993841.63</v>
      </c>
      <c r="V228" t="s">
        <v>55</v>
      </c>
      <c r="W228">
        <f t="shared" si="88"/>
        <v>800999.9999995809</v>
      </c>
      <c r="X228">
        <f t="shared" si="81"/>
        <v>893423.9702000916</v>
      </c>
      <c r="Y228">
        <f t="shared" si="82"/>
        <v>327854.90642403357</v>
      </c>
      <c r="Z228">
        <f t="shared" si="83"/>
        <v>610639.43831206253</v>
      </c>
      <c r="AA228">
        <f t="shared" si="84"/>
        <v>900124649976592.5</v>
      </c>
      <c r="AB228">
        <f t="shared" si="85"/>
        <v>477356743753392.88</v>
      </c>
      <c r="AC228">
        <f t="shared" si="86"/>
        <v>688740696864992.75</v>
      </c>
    </row>
    <row r="229" spans="1:29" x14ac:dyDescent="0.35">
      <c r="A229" t="s">
        <v>56</v>
      </c>
      <c r="B229" s="8">
        <v>0.89600000000000002</v>
      </c>
      <c r="C229" s="2">
        <f t="shared" si="65"/>
        <v>0.2762</v>
      </c>
      <c r="D229">
        <f t="shared" si="66"/>
        <v>0.10194400000000002</v>
      </c>
      <c r="E229">
        <f t="shared" si="67"/>
        <v>278271500</v>
      </c>
      <c r="F229">
        <f t="shared" si="68"/>
        <v>148430464.00000003</v>
      </c>
      <c r="G229">
        <f t="shared" si="69"/>
        <v>3.9340999999999999</v>
      </c>
      <c r="H229">
        <f t="shared" si="70"/>
        <v>1.4427520000000003</v>
      </c>
      <c r="I229">
        <f t="shared" si="71"/>
        <v>2.6884260000000002</v>
      </c>
      <c r="J229">
        <f t="shared" si="72"/>
        <v>3963605750</v>
      </c>
      <c r="K229">
        <f t="shared" si="73"/>
        <v>2100646912</v>
      </c>
      <c r="L229">
        <f t="shared" si="74"/>
        <v>3032126331</v>
      </c>
      <c r="M229" t="s">
        <v>56</v>
      </c>
      <c r="N229">
        <f t="shared" si="87"/>
        <v>62100</v>
      </c>
      <c r="O229">
        <f t="shared" si="75"/>
        <v>1565839.6949997635</v>
      </c>
      <c r="P229">
        <f t="shared" si="76"/>
        <v>572992.84439991391</v>
      </c>
      <c r="Q229">
        <f t="shared" si="77"/>
        <v>1069416.2696998387</v>
      </c>
      <c r="R229">
        <f t="shared" si="78"/>
        <v>834277581446274.75</v>
      </c>
      <c r="S229">
        <f t="shared" si="79"/>
        <v>4600116.0749993119</v>
      </c>
      <c r="T229">
        <f t="shared" si="80"/>
        <v>417138793023195.44</v>
      </c>
      <c r="V229" t="s">
        <v>56</v>
      </c>
      <c r="W229">
        <f t="shared" si="88"/>
        <v>62100</v>
      </c>
      <c r="X229">
        <f t="shared" si="81"/>
        <v>971496.0902000916</v>
      </c>
      <c r="Y229">
        <f t="shared" si="82"/>
        <v>356387.62082403357</v>
      </c>
      <c r="Z229">
        <f t="shared" si="83"/>
        <v>663941.85551206255</v>
      </c>
      <c r="AA229">
        <f t="shared" si="84"/>
        <v>978782310876592.5</v>
      </c>
      <c r="AB229">
        <f t="shared" si="85"/>
        <v>518900375919792.88</v>
      </c>
      <c r="AC229">
        <f t="shared" si="86"/>
        <v>748841343398192.75</v>
      </c>
    </row>
    <row r="230" spans="1:29" x14ac:dyDescent="0.35">
      <c r="A230" t="s">
        <v>57</v>
      </c>
      <c r="B230" s="8">
        <v>0.83</v>
      </c>
      <c r="C230" s="2">
        <f t="shared" si="65"/>
        <v>0.2465</v>
      </c>
      <c r="D230">
        <f t="shared" si="66"/>
        <v>9.1119999999999993E-2</v>
      </c>
      <c r="E230">
        <f t="shared" si="67"/>
        <v>248348750</v>
      </c>
      <c r="F230">
        <f t="shared" si="68"/>
        <v>132670719.99999999</v>
      </c>
      <c r="G230">
        <f t="shared" si="69"/>
        <v>4.1806000000000001</v>
      </c>
      <c r="H230">
        <f t="shared" si="70"/>
        <v>1.5338720000000003</v>
      </c>
      <c r="I230">
        <f t="shared" si="71"/>
        <v>2.8572360000000003</v>
      </c>
      <c r="J230">
        <f t="shared" si="72"/>
        <v>4211954500</v>
      </c>
      <c r="K230">
        <f t="shared" si="73"/>
        <v>2233317632</v>
      </c>
      <c r="L230">
        <f t="shared" si="74"/>
        <v>3222636066</v>
      </c>
      <c r="M230" t="s">
        <v>57</v>
      </c>
      <c r="N230">
        <f t="shared" si="87"/>
        <v>198000.0000004191</v>
      </c>
      <c r="O230">
        <f t="shared" si="75"/>
        <v>1614646.6949998669</v>
      </c>
      <c r="P230">
        <f t="shared" si="76"/>
        <v>591034.60439995211</v>
      </c>
      <c r="Q230">
        <f t="shared" si="77"/>
        <v>1102840.6496999096</v>
      </c>
      <c r="R230">
        <f t="shared" si="78"/>
        <v>860546384006330.38</v>
      </c>
      <c r="S230">
        <f t="shared" si="79"/>
        <v>5427874.8750010636</v>
      </c>
      <c r="T230">
        <f t="shared" si="80"/>
        <v>430273194717102.63</v>
      </c>
      <c r="V230" t="s">
        <v>57</v>
      </c>
      <c r="W230">
        <f t="shared" si="88"/>
        <v>198000.0000004191</v>
      </c>
      <c r="X230">
        <f t="shared" si="81"/>
        <v>1026183.6902002073</v>
      </c>
      <c r="Y230">
        <f t="shared" si="82"/>
        <v>376572.5328240763</v>
      </c>
      <c r="Z230">
        <f t="shared" si="83"/>
        <v>701378.11151214177</v>
      </c>
      <c r="AA230">
        <f t="shared" si="84"/>
        <v>1033880067876709.1</v>
      </c>
      <c r="AB230">
        <f t="shared" si="85"/>
        <v>548289607791855.06</v>
      </c>
      <c r="AC230">
        <f t="shared" si="86"/>
        <v>791084837834282.13</v>
      </c>
    </row>
    <row r="231" spans="1:29" x14ac:dyDescent="0.35">
      <c r="A231" t="s">
        <v>58</v>
      </c>
      <c r="B231" s="8">
        <v>1.1479999999999999</v>
      </c>
      <c r="C231" s="2">
        <f t="shared" si="65"/>
        <v>0.38959999999999995</v>
      </c>
      <c r="D231">
        <f t="shared" si="66"/>
        <v>0.14327200000000001</v>
      </c>
      <c r="E231">
        <f t="shared" si="67"/>
        <v>392521999.99999994</v>
      </c>
      <c r="F231">
        <f t="shared" si="68"/>
        <v>208604032</v>
      </c>
      <c r="G231">
        <f t="shared" si="69"/>
        <v>4.5701999999999998</v>
      </c>
      <c r="H231">
        <f t="shared" si="70"/>
        <v>1.6771440000000004</v>
      </c>
      <c r="I231">
        <f t="shared" si="71"/>
        <v>3.123672</v>
      </c>
      <c r="J231">
        <f t="shared" si="72"/>
        <v>4604476500</v>
      </c>
      <c r="K231">
        <f t="shared" si="73"/>
        <v>2441921664</v>
      </c>
      <c r="L231">
        <f t="shared" si="74"/>
        <v>3523199082</v>
      </c>
      <c r="M231" t="s">
        <v>58</v>
      </c>
      <c r="N231">
        <f t="shared" si="87"/>
        <v>171599.9999998603</v>
      </c>
      <c r="O231">
        <f t="shared" si="75"/>
        <v>1681502.0549998125</v>
      </c>
      <c r="P231">
        <f t="shared" si="76"/>
        <v>615620.07959993207</v>
      </c>
      <c r="Q231">
        <f t="shared" si="77"/>
        <v>1148561.0672998722</v>
      </c>
      <c r="R231">
        <f t="shared" si="78"/>
        <v>896342835897501.25</v>
      </c>
      <c r="S231">
        <f t="shared" si="79"/>
        <v>6212121.195000425</v>
      </c>
      <c r="T231">
        <f t="shared" si="80"/>
        <v>448171421054811.25</v>
      </c>
      <c r="V231" t="s">
        <v>58</v>
      </c>
      <c r="W231">
        <f t="shared" si="88"/>
        <v>171599.9999998603</v>
      </c>
      <c r="X231">
        <f t="shared" si="81"/>
        <v>1068483.0902001727</v>
      </c>
      <c r="Y231">
        <f t="shared" si="82"/>
        <v>392208.7248240636</v>
      </c>
      <c r="Z231">
        <f t="shared" si="83"/>
        <v>730345.90751211811</v>
      </c>
      <c r="AA231">
        <f t="shared" si="84"/>
        <v>1076496713376674.4</v>
      </c>
      <c r="AB231">
        <f t="shared" si="85"/>
        <v>571055903343836.5</v>
      </c>
      <c r="AC231">
        <f t="shared" si="86"/>
        <v>823776308360255.5</v>
      </c>
    </row>
    <row r="232" spans="1:29" x14ac:dyDescent="0.35">
      <c r="A232" t="s">
        <v>59</v>
      </c>
      <c r="B232" s="8">
        <v>0.99299999999999999</v>
      </c>
      <c r="C232" s="2">
        <f t="shared" si="65"/>
        <v>0.31985000000000002</v>
      </c>
      <c r="D232">
        <f t="shared" si="66"/>
        <v>0.117852</v>
      </c>
      <c r="E232">
        <f t="shared" si="67"/>
        <v>322248875</v>
      </c>
      <c r="F232">
        <f t="shared" si="68"/>
        <v>171592511.99999997</v>
      </c>
      <c r="G232">
        <f t="shared" si="69"/>
        <v>4.8900499999999996</v>
      </c>
      <c r="H232">
        <f t="shared" si="70"/>
        <v>1.7949960000000005</v>
      </c>
      <c r="I232">
        <f t="shared" si="71"/>
        <v>3.3425229999999999</v>
      </c>
      <c r="J232">
        <f t="shared" si="72"/>
        <v>4926725375</v>
      </c>
      <c r="K232">
        <f t="shared" si="73"/>
        <v>2613514176</v>
      </c>
      <c r="L232">
        <f t="shared" si="74"/>
        <v>3770119775.5</v>
      </c>
      <c r="M232" t="s">
        <v>59</v>
      </c>
      <c r="N232">
        <f t="shared" si="87"/>
        <v>432000</v>
      </c>
      <c r="O232">
        <f t="shared" si="75"/>
        <v>1819677.2549998125</v>
      </c>
      <c r="P232">
        <f t="shared" si="76"/>
        <v>666532.14359993208</v>
      </c>
      <c r="Q232">
        <f t="shared" si="77"/>
        <v>1243104.6992998724</v>
      </c>
      <c r="R232">
        <f t="shared" si="78"/>
        <v>970470801081501.25</v>
      </c>
      <c r="S232">
        <f t="shared" si="79"/>
        <v>8324622.7950004246</v>
      </c>
      <c r="T232">
        <f t="shared" si="80"/>
        <v>485235404703062</v>
      </c>
      <c r="V232" t="s">
        <v>59</v>
      </c>
      <c r="W232">
        <f t="shared" si="88"/>
        <v>432000</v>
      </c>
      <c r="X232">
        <f t="shared" ref="X232:X245" si="89">(W232*C231)+X231</f>
        <v>1236790.2902001727</v>
      </c>
      <c r="Y232">
        <f t="shared" ref="Y232:Y245" si="90">(W232*D231)+Y231</f>
        <v>454102.22882406361</v>
      </c>
      <c r="Z232">
        <f t="shared" ref="Z232:Z245" si="91">(X232+Y232)/2</f>
        <v>845446.25951211818</v>
      </c>
      <c r="AA232">
        <f t="shared" ref="AA232:AA245" si="92">(W232*E231)+AA231</f>
        <v>1246066217376674.3</v>
      </c>
      <c r="AB232">
        <f t="shared" ref="AB232:AB245" si="93">(W232*F231)+AB231</f>
        <v>661172845167836.5</v>
      </c>
      <c r="AC232">
        <f t="shared" ref="AC232:AC245" si="94">(AA232+AB232)/2</f>
        <v>953619531272255.38</v>
      </c>
    </row>
    <row r="233" spans="1:29" x14ac:dyDescent="0.35">
      <c r="A233" t="s">
        <v>60</v>
      </c>
      <c r="B233" s="8">
        <v>1.0469999999999999</v>
      </c>
      <c r="C233" s="2">
        <f t="shared" si="65"/>
        <v>0.34414999999999996</v>
      </c>
      <c r="D233">
        <f t="shared" si="66"/>
        <v>0.12670799999999999</v>
      </c>
      <c r="E233">
        <f t="shared" si="67"/>
        <v>346731124.99999994</v>
      </c>
      <c r="F233">
        <f t="shared" si="68"/>
        <v>184486847.99999997</v>
      </c>
      <c r="G233">
        <f t="shared" si="69"/>
        <v>5.2341999999999995</v>
      </c>
      <c r="H233">
        <f t="shared" si="70"/>
        <v>1.9217040000000005</v>
      </c>
      <c r="I233">
        <f t="shared" si="71"/>
        <v>3.5779519999999998</v>
      </c>
      <c r="J233">
        <f t="shared" si="72"/>
        <v>5273456500</v>
      </c>
      <c r="K233">
        <f t="shared" si="73"/>
        <v>2798001024</v>
      </c>
      <c r="L233">
        <f t="shared" si="74"/>
        <v>4035728762</v>
      </c>
      <c r="M233" t="s">
        <v>60</v>
      </c>
      <c r="N233">
        <f t="shared" si="87"/>
        <v>2680199.9999995809</v>
      </c>
      <c r="O233">
        <f t="shared" si="75"/>
        <v>2742068.0849996679</v>
      </c>
      <c r="P233">
        <f t="shared" si="76"/>
        <v>1006134.9251998789</v>
      </c>
      <c r="Q233">
        <f t="shared" si="77"/>
        <v>1874101.5050997734</v>
      </c>
      <c r="R233">
        <f t="shared" si="78"/>
        <v>1464932451091024</v>
      </c>
      <c r="S233">
        <f t="shared" si="79"/>
        <v>22353325.634998232</v>
      </c>
      <c r="T233">
        <f t="shared" si="80"/>
        <v>732466236722174.88</v>
      </c>
      <c r="V233" t="s">
        <v>60</v>
      </c>
      <c r="W233">
        <f t="shared" si="88"/>
        <v>2680199.9999995809</v>
      </c>
      <c r="X233">
        <f t="shared" si="89"/>
        <v>2094052.2602000386</v>
      </c>
      <c r="Y233">
        <f t="shared" si="90"/>
        <v>769969.15922401426</v>
      </c>
      <c r="Z233">
        <f t="shared" si="91"/>
        <v>1432010.7097120264</v>
      </c>
      <c r="AA233">
        <f t="shared" si="92"/>
        <v>2109757652151539.3</v>
      </c>
      <c r="AB233">
        <f t="shared" si="93"/>
        <v>1121075095830164.5</v>
      </c>
      <c r="AC233">
        <f t="shared" si="94"/>
        <v>1615416373990852</v>
      </c>
    </row>
    <row r="234" spans="1:29" x14ac:dyDescent="0.35">
      <c r="A234" t="s">
        <v>61</v>
      </c>
      <c r="B234" s="8">
        <v>2.1320000000000001</v>
      </c>
      <c r="C234" s="2">
        <f t="shared" si="65"/>
        <v>0.83240000000000003</v>
      </c>
      <c r="D234">
        <f t="shared" si="66"/>
        <v>0.30464800000000003</v>
      </c>
      <c r="E234">
        <f t="shared" si="67"/>
        <v>838643000.00000012</v>
      </c>
      <c r="F234">
        <f t="shared" si="68"/>
        <v>443567488.00000006</v>
      </c>
      <c r="G234">
        <f t="shared" si="69"/>
        <v>6.0665999999999993</v>
      </c>
      <c r="H234">
        <f t="shared" si="70"/>
        <v>2.2263520000000003</v>
      </c>
      <c r="I234">
        <f t="shared" si="71"/>
        <v>4.1464759999999998</v>
      </c>
      <c r="J234">
        <f t="shared" si="72"/>
        <v>6112099500</v>
      </c>
      <c r="K234">
        <f t="shared" si="73"/>
        <v>3241568512</v>
      </c>
      <c r="L234">
        <f t="shared" si="74"/>
        <v>4676834006</v>
      </c>
      <c r="M234" t="s">
        <v>61</v>
      </c>
      <c r="N234">
        <f t="shared" si="87"/>
        <v>171600.00000048894</v>
      </c>
      <c r="O234">
        <f t="shared" si="75"/>
        <v>2884907.9250000748</v>
      </c>
      <c r="P234">
        <f t="shared" si="76"/>
        <v>1058412.5220000278</v>
      </c>
      <c r="Q234">
        <f t="shared" si="77"/>
        <v>1971660.2235000513</v>
      </c>
      <c r="R234">
        <f t="shared" si="78"/>
        <v>1541048632032041</v>
      </c>
      <c r="S234">
        <f t="shared" si="79"/>
        <v>23394354.1950012</v>
      </c>
      <c r="T234">
        <f t="shared" si="80"/>
        <v>770524327713197.63</v>
      </c>
      <c r="V234" t="s">
        <v>61</v>
      </c>
      <c r="W234">
        <f t="shared" si="88"/>
        <v>171600.00000048894</v>
      </c>
      <c r="X234">
        <f t="shared" si="89"/>
        <v>2153108.4002002068</v>
      </c>
      <c r="Y234">
        <f t="shared" si="90"/>
        <v>791712.25202407618</v>
      </c>
      <c r="Z234">
        <f t="shared" si="91"/>
        <v>1472410.3261121414</v>
      </c>
      <c r="AA234">
        <f t="shared" si="92"/>
        <v>2169256713201708.8</v>
      </c>
      <c r="AB234">
        <f t="shared" si="93"/>
        <v>1152733038947054.8</v>
      </c>
      <c r="AC234">
        <f t="shared" si="94"/>
        <v>1660994876074381.8</v>
      </c>
    </row>
    <row r="235" spans="1:29" x14ac:dyDescent="0.35">
      <c r="A235" t="s">
        <v>62</v>
      </c>
      <c r="B235" s="8">
        <v>1.242</v>
      </c>
      <c r="C235" s="2">
        <f t="shared" si="65"/>
        <v>0.43190000000000006</v>
      </c>
      <c r="D235">
        <f t="shared" si="66"/>
        <v>0.158688</v>
      </c>
      <c r="E235">
        <f t="shared" si="67"/>
        <v>435139250</v>
      </c>
      <c r="F235">
        <f t="shared" si="68"/>
        <v>231049728</v>
      </c>
      <c r="G235">
        <f t="shared" si="69"/>
        <v>6.4984999999999991</v>
      </c>
      <c r="H235">
        <f t="shared" si="70"/>
        <v>2.3850400000000005</v>
      </c>
      <c r="I235">
        <f t="shared" si="71"/>
        <v>4.44177</v>
      </c>
      <c r="J235">
        <f t="shared" si="72"/>
        <v>6547238750</v>
      </c>
      <c r="K235">
        <f t="shared" si="73"/>
        <v>3472618240</v>
      </c>
      <c r="L235">
        <f t="shared" si="74"/>
        <v>5009928495</v>
      </c>
      <c r="M235" t="s">
        <v>62</v>
      </c>
      <c r="N235">
        <f t="shared" si="87"/>
        <v>864000</v>
      </c>
      <c r="O235">
        <f t="shared" si="75"/>
        <v>3258069.5250000749</v>
      </c>
      <c r="P235">
        <f t="shared" si="76"/>
        <v>1195518.9540000279</v>
      </c>
      <c r="Q235">
        <f t="shared" si="77"/>
        <v>2226794.2395000514</v>
      </c>
      <c r="R235">
        <f t="shared" si="78"/>
        <v>1740675597024041</v>
      </c>
      <c r="S235">
        <f t="shared" si="79"/>
        <v>29009058.1950012</v>
      </c>
      <c r="T235">
        <f t="shared" si="80"/>
        <v>870337813016549.63</v>
      </c>
      <c r="V235" t="s">
        <v>62</v>
      </c>
      <c r="W235">
        <f t="shared" si="88"/>
        <v>864000</v>
      </c>
      <c r="X235">
        <f t="shared" si="89"/>
        <v>2872302.0002002069</v>
      </c>
      <c r="Y235">
        <f t="shared" si="90"/>
        <v>1054928.1240240762</v>
      </c>
      <c r="Z235">
        <f t="shared" si="91"/>
        <v>1963615.0621121414</v>
      </c>
      <c r="AA235">
        <f t="shared" si="92"/>
        <v>2893844265201709</v>
      </c>
      <c r="AB235">
        <f t="shared" si="93"/>
        <v>1535975348579054.8</v>
      </c>
      <c r="AC235">
        <f t="shared" si="94"/>
        <v>2214909806890382</v>
      </c>
    </row>
    <row r="236" spans="1:29" x14ac:dyDescent="0.35">
      <c r="A236" t="s">
        <v>63</v>
      </c>
      <c r="B236" s="8">
        <v>0.84399999999999997</v>
      </c>
      <c r="C236" s="2">
        <f t="shared" si="65"/>
        <v>0.25279999999999997</v>
      </c>
      <c r="D236">
        <f t="shared" si="66"/>
        <v>9.3416000000000013E-2</v>
      </c>
      <c r="E236">
        <f t="shared" si="67"/>
        <v>254696000</v>
      </c>
      <c r="F236">
        <f t="shared" si="68"/>
        <v>136013696</v>
      </c>
      <c r="G236">
        <f t="shared" si="69"/>
        <v>6.7512999999999987</v>
      </c>
      <c r="H236">
        <f t="shared" si="70"/>
        <v>2.4784560000000004</v>
      </c>
      <c r="I236">
        <f t="shared" si="71"/>
        <v>4.6148779999999991</v>
      </c>
      <c r="J236">
        <f t="shared" si="72"/>
        <v>6801934750</v>
      </c>
      <c r="K236">
        <f t="shared" si="73"/>
        <v>3608631936</v>
      </c>
      <c r="L236">
        <f t="shared" si="74"/>
        <v>5205283343</v>
      </c>
      <c r="M236" t="s">
        <v>63</v>
      </c>
      <c r="N236">
        <f t="shared" si="87"/>
        <v>407999.9999997206</v>
      </c>
      <c r="O236">
        <f t="shared" si="75"/>
        <v>3361211.9250000045</v>
      </c>
      <c r="P236">
        <f t="shared" si="76"/>
        <v>1233632.6820000017</v>
      </c>
      <c r="Q236">
        <f t="shared" si="77"/>
        <v>2297422.3035000032</v>
      </c>
      <c r="R236">
        <f t="shared" si="78"/>
        <v>1796169184992003</v>
      </c>
      <c r="S236">
        <f t="shared" si="79"/>
        <v>31763588.594999313</v>
      </c>
      <c r="T236">
        <f t="shared" si="80"/>
        <v>898084608377795.75</v>
      </c>
      <c r="V236" t="s">
        <v>63</v>
      </c>
      <c r="W236">
        <f t="shared" si="88"/>
        <v>407999.9999997206</v>
      </c>
      <c r="X236">
        <f t="shared" si="89"/>
        <v>3048517.2002000865</v>
      </c>
      <c r="Y236">
        <f t="shared" si="90"/>
        <v>1119672.8280240318</v>
      </c>
      <c r="Z236">
        <f t="shared" si="91"/>
        <v>2084095.014112059</v>
      </c>
      <c r="AA236">
        <f t="shared" si="92"/>
        <v>3071381079201587.5</v>
      </c>
      <c r="AB236">
        <f t="shared" si="93"/>
        <v>1630243637602990.3</v>
      </c>
      <c r="AC236">
        <f t="shared" si="94"/>
        <v>2350812358402289</v>
      </c>
    </row>
    <row r="237" spans="1:29" x14ac:dyDescent="0.35">
      <c r="A237" t="s">
        <v>64</v>
      </c>
      <c r="B237" s="8">
        <v>1.724</v>
      </c>
      <c r="C237" s="2">
        <f t="shared" si="65"/>
        <v>0.64880000000000004</v>
      </c>
      <c r="D237">
        <f t="shared" si="66"/>
        <v>0.237736</v>
      </c>
      <c r="E237">
        <f t="shared" si="67"/>
        <v>653666000</v>
      </c>
      <c r="F237">
        <f t="shared" si="68"/>
        <v>346143616</v>
      </c>
      <c r="G237">
        <f t="shared" si="69"/>
        <v>7.4000999999999983</v>
      </c>
      <c r="H237">
        <f t="shared" si="70"/>
        <v>2.7161920000000004</v>
      </c>
      <c r="I237">
        <f t="shared" si="71"/>
        <v>5.0581459999999989</v>
      </c>
      <c r="J237">
        <f t="shared" si="72"/>
        <v>7455600750</v>
      </c>
      <c r="K237">
        <f t="shared" si="73"/>
        <v>3954775552</v>
      </c>
      <c r="L237">
        <f t="shared" si="74"/>
        <v>5705188151</v>
      </c>
      <c r="M237" t="s">
        <v>64</v>
      </c>
      <c r="N237">
        <f t="shared" si="87"/>
        <v>887699.99999993015</v>
      </c>
      <c r="O237">
        <f t="shared" si="75"/>
        <v>3937151.6849999591</v>
      </c>
      <c r="P237">
        <f t="shared" si="76"/>
        <v>1444670.929199985</v>
      </c>
      <c r="Q237">
        <f t="shared" si="77"/>
        <v>2690911.3070999719</v>
      </c>
      <c r="R237">
        <f t="shared" si="78"/>
        <v>2103440872915178.8</v>
      </c>
      <c r="S237">
        <f t="shared" si="79"/>
        <v>38332657.364998795</v>
      </c>
      <c r="T237">
        <f t="shared" si="80"/>
        <v>1051720455623918</v>
      </c>
      <c r="V237" t="s">
        <v>64</v>
      </c>
      <c r="W237">
        <f t="shared" si="88"/>
        <v>887699.99999993015</v>
      </c>
      <c r="X237">
        <f t="shared" si="89"/>
        <v>3272927.7602000688</v>
      </c>
      <c r="Y237">
        <f t="shared" si="90"/>
        <v>1202598.2112240253</v>
      </c>
      <c r="Z237">
        <f t="shared" si="91"/>
        <v>2237762.9857120472</v>
      </c>
      <c r="AA237">
        <f t="shared" si="92"/>
        <v>3297474718401569.5</v>
      </c>
      <c r="AB237">
        <f t="shared" si="93"/>
        <v>1750982995542180.8</v>
      </c>
      <c r="AC237">
        <f t="shared" si="94"/>
        <v>2524228856971875</v>
      </c>
    </row>
    <row r="238" spans="1:29" x14ac:dyDescent="0.35">
      <c r="A238" t="s">
        <v>65</v>
      </c>
      <c r="B238" s="8">
        <v>0.79200000000000004</v>
      </c>
      <c r="C238" s="2">
        <f t="shared" si="65"/>
        <v>0.22940000000000005</v>
      </c>
      <c r="D238">
        <f t="shared" si="66"/>
        <v>8.4888000000000005E-2</v>
      </c>
      <c r="E238">
        <f t="shared" si="67"/>
        <v>231120500.00000006</v>
      </c>
      <c r="F238">
        <f t="shared" si="68"/>
        <v>123596928.00000001</v>
      </c>
      <c r="G238">
        <f t="shared" si="69"/>
        <v>7.6294999999999984</v>
      </c>
      <c r="H238">
        <f t="shared" si="70"/>
        <v>2.8010800000000002</v>
      </c>
      <c r="I238">
        <f t="shared" si="71"/>
        <v>5.2152899999999995</v>
      </c>
      <c r="J238">
        <f t="shared" si="72"/>
        <v>7686721250</v>
      </c>
      <c r="K238">
        <f t="shared" si="73"/>
        <v>4078372480</v>
      </c>
      <c r="L238">
        <f t="shared" si="74"/>
        <v>5882546865</v>
      </c>
      <c r="M238" t="s">
        <v>65</v>
      </c>
      <c r="N238">
        <f t="shared" si="87"/>
        <v>432000</v>
      </c>
      <c r="O238">
        <f t="shared" si="75"/>
        <v>4036252.4849999589</v>
      </c>
      <c r="P238">
        <f t="shared" si="76"/>
        <v>1481342.5451999849</v>
      </c>
      <c r="Q238">
        <f t="shared" si="77"/>
        <v>2758797.515099972</v>
      </c>
      <c r="R238">
        <f t="shared" si="78"/>
        <v>2156834745811178.8</v>
      </c>
      <c r="S238">
        <f t="shared" si="79"/>
        <v>41628601.364998795</v>
      </c>
      <c r="T238">
        <f t="shared" si="80"/>
        <v>1078417393719890</v>
      </c>
      <c r="V238" t="s">
        <v>65</v>
      </c>
      <c r="W238">
        <f t="shared" si="88"/>
        <v>432000</v>
      </c>
      <c r="X238">
        <f t="shared" si="89"/>
        <v>3553209.3602000689</v>
      </c>
      <c r="Y238">
        <f t="shared" si="90"/>
        <v>1305300.1632240254</v>
      </c>
      <c r="Z238">
        <f t="shared" si="91"/>
        <v>2429254.7617120473</v>
      </c>
      <c r="AA238">
        <f t="shared" si="92"/>
        <v>3579858430401569.5</v>
      </c>
      <c r="AB238">
        <f t="shared" si="93"/>
        <v>1900517037654180.8</v>
      </c>
      <c r="AC238">
        <f t="shared" si="94"/>
        <v>2740187734027875</v>
      </c>
    </row>
    <row r="239" spans="1:29" x14ac:dyDescent="0.35">
      <c r="A239" t="s">
        <v>66</v>
      </c>
      <c r="B239" s="8">
        <v>2.359</v>
      </c>
      <c r="C239" s="2">
        <f t="shared" si="65"/>
        <v>0.93454999999999999</v>
      </c>
      <c r="D239">
        <f t="shared" si="66"/>
        <v>0.34187600000000001</v>
      </c>
      <c r="E239">
        <f t="shared" si="67"/>
        <v>941559125</v>
      </c>
      <c r="F239">
        <f t="shared" si="68"/>
        <v>497771456</v>
      </c>
      <c r="G239">
        <f t="shared" si="69"/>
        <v>8.5640499999999982</v>
      </c>
      <c r="H239">
        <f t="shared" si="70"/>
        <v>3.1429560000000003</v>
      </c>
      <c r="I239">
        <f t="shared" si="71"/>
        <v>5.853502999999999</v>
      </c>
      <c r="J239">
        <f t="shared" si="72"/>
        <v>8628280375</v>
      </c>
      <c r="K239">
        <f t="shared" si="73"/>
        <v>4576143936</v>
      </c>
      <c r="L239">
        <f t="shared" si="74"/>
        <v>6602212155.5</v>
      </c>
      <c r="M239" t="s">
        <v>66</v>
      </c>
      <c r="N239">
        <f t="shared" si="87"/>
        <v>3455399.9999999302</v>
      </c>
      <c r="O239">
        <f t="shared" si="75"/>
        <v>7265496.5549998935</v>
      </c>
      <c r="P239">
        <f t="shared" si="76"/>
        <v>2662660.8755999608</v>
      </c>
      <c r="Q239">
        <f t="shared" si="77"/>
        <v>4964078.7152999267</v>
      </c>
      <c r="R239">
        <f t="shared" si="78"/>
        <v>3876834234873544</v>
      </c>
      <c r="S239">
        <f t="shared" si="79"/>
        <v>71220819.734998196</v>
      </c>
      <c r="T239">
        <f t="shared" si="80"/>
        <v>1938417153047181.8</v>
      </c>
      <c r="V239" t="s">
        <v>66</v>
      </c>
      <c r="W239">
        <f t="shared" si="88"/>
        <v>3455399.9999999302</v>
      </c>
      <c r="X239">
        <f t="shared" si="89"/>
        <v>4345878.1202000529</v>
      </c>
      <c r="Y239">
        <f t="shared" si="90"/>
        <v>1598622.1584240193</v>
      </c>
      <c r="Z239">
        <f t="shared" si="91"/>
        <v>2972250.1393120363</v>
      </c>
      <c r="AA239">
        <f t="shared" si="92"/>
        <v>4378472206101553.5</v>
      </c>
      <c r="AB239">
        <f t="shared" si="93"/>
        <v>2327593862665372</v>
      </c>
      <c r="AC239">
        <f t="shared" si="94"/>
        <v>3353033034383463</v>
      </c>
    </row>
    <row r="240" spans="1:29" x14ac:dyDescent="0.35">
      <c r="A240" t="s">
        <v>67</v>
      </c>
      <c r="B240" s="8">
        <v>0.747</v>
      </c>
      <c r="C240" s="2">
        <f t="shared" si="65"/>
        <v>0.20915</v>
      </c>
      <c r="D240">
        <f t="shared" si="66"/>
        <v>7.7508000000000007E-2</v>
      </c>
      <c r="E240">
        <f t="shared" si="67"/>
        <v>210718625</v>
      </c>
      <c r="F240">
        <f t="shared" si="68"/>
        <v>112851648</v>
      </c>
      <c r="G240">
        <f t="shared" si="69"/>
        <v>8.7731999999999974</v>
      </c>
      <c r="H240">
        <f t="shared" si="70"/>
        <v>3.2204640000000002</v>
      </c>
      <c r="I240">
        <f t="shared" si="71"/>
        <v>5.9968319999999986</v>
      </c>
      <c r="J240">
        <f t="shared" si="72"/>
        <v>8838999000</v>
      </c>
      <c r="K240">
        <f t="shared" si="73"/>
        <v>4688995584</v>
      </c>
      <c r="L240">
        <f t="shared" si="74"/>
        <v>6763997292</v>
      </c>
      <c r="M240" t="s">
        <v>67</v>
      </c>
      <c r="N240">
        <f t="shared" si="87"/>
        <v>1273500.0000002095</v>
      </c>
      <c r="O240">
        <f t="shared" si="75"/>
        <v>7531849.0799999377</v>
      </c>
      <c r="P240">
        <f t="shared" si="76"/>
        <v>2761367.3135999772</v>
      </c>
      <c r="Q240">
        <f t="shared" si="77"/>
        <v>5146608.1967999572</v>
      </c>
      <c r="R240">
        <f t="shared" si="78"/>
        <v>4020550808601567.5</v>
      </c>
      <c r="S240">
        <f t="shared" si="79"/>
        <v>82393489.935000032</v>
      </c>
      <c r="T240">
        <f t="shared" si="80"/>
        <v>2010275445497528.8</v>
      </c>
      <c r="V240" t="s">
        <v>67</v>
      </c>
      <c r="W240">
        <f t="shared" si="88"/>
        <v>1273500.0000002095</v>
      </c>
      <c r="X240">
        <f t="shared" si="89"/>
        <v>5536027.5452002492</v>
      </c>
      <c r="Y240">
        <f t="shared" si="90"/>
        <v>2034001.244424091</v>
      </c>
      <c r="Z240">
        <f t="shared" si="91"/>
        <v>3785014.39481217</v>
      </c>
      <c r="AA240">
        <f t="shared" si="92"/>
        <v>5577547751789251</v>
      </c>
      <c r="AB240">
        <f t="shared" si="93"/>
        <v>2961505811881476</v>
      </c>
      <c r="AC240">
        <f t="shared" si="94"/>
        <v>4269526781835363.5</v>
      </c>
    </row>
    <row r="241" spans="1:29" x14ac:dyDescent="0.35">
      <c r="A241" t="s">
        <v>68</v>
      </c>
      <c r="B241" s="8">
        <v>1.18</v>
      </c>
      <c r="C241" s="2">
        <f t="shared" si="65"/>
        <v>0.40400000000000003</v>
      </c>
      <c r="D241">
        <f t="shared" si="66"/>
        <v>0.14851999999999999</v>
      </c>
      <c r="E241">
        <f t="shared" si="67"/>
        <v>407030000.00000006</v>
      </c>
      <c r="F241">
        <f t="shared" si="68"/>
        <v>216245120</v>
      </c>
      <c r="G241">
        <f t="shared" si="69"/>
        <v>9.1771999999999974</v>
      </c>
      <c r="H241">
        <f t="shared" si="70"/>
        <v>3.3689840000000002</v>
      </c>
      <c r="I241">
        <f t="shared" si="71"/>
        <v>6.2730919999999983</v>
      </c>
      <c r="J241">
        <f t="shared" si="72"/>
        <v>9246029000</v>
      </c>
      <c r="K241">
        <f t="shared" si="73"/>
        <v>4905240704</v>
      </c>
      <c r="L241">
        <f t="shared" si="74"/>
        <v>7075634852</v>
      </c>
      <c r="M241" t="s">
        <v>68</v>
      </c>
      <c r="N241">
        <f t="shared" si="87"/>
        <v>431700.0000002794</v>
      </c>
      <c r="O241">
        <f t="shared" si="75"/>
        <v>7706255.8800000502</v>
      </c>
      <c r="P241">
        <f t="shared" si="76"/>
        <v>2825483.3976000189</v>
      </c>
      <c r="Q241">
        <f t="shared" si="77"/>
        <v>5265869.6388000343</v>
      </c>
      <c r="R241">
        <f t="shared" si="78"/>
        <v>4113903826905628</v>
      </c>
      <c r="S241">
        <f t="shared" si="79"/>
        <v>86355287.17500259</v>
      </c>
      <c r="T241">
        <f t="shared" si="80"/>
        <v>2056951956630457.5</v>
      </c>
      <c r="V241" t="s">
        <v>68</v>
      </c>
      <c r="W241">
        <f t="shared" si="88"/>
        <v>431700.0000002794</v>
      </c>
      <c r="X241">
        <f t="shared" si="89"/>
        <v>5626317.6002003076</v>
      </c>
      <c r="Y241">
        <f t="shared" si="90"/>
        <v>2067461.4480241127</v>
      </c>
      <c r="Z241">
        <f t="shared" si="91"/>
        <v>3846889.5241122101</v>
      </c>
      <c r="AA241">
        <f t="shared" si="92"/>
        <v>5668514982201810</v>
      </c>
      <c r="AB241">
        <f t="shared" si="93"/>
        <v>3010223868323107.5</v>
      </c>
      <c r="AC241">
        <f t="shared" si="94"/>
        <v>4339369425262459</v>
      </c>
    </row>
    <row r="242" spans="1:29" x14ac:dyDescent="0.35">
      <c r="A242" t="s">
        <v>69</v>
      </c>
      <c r="B242" s="8">
        <v>1.097</v>
      </c>
      <c r="C242" s="2">
        <f t="shared" si="65"/>
        <v>0.36664999999999998</v>
      </c>
      <c r="D242">
        <f t="shared" si="66"/>
        <v>0.13490800000000003</v>
      </c>
      <c r="E242">
        <f t="shared" si="67"/>
        <v>369399875</v>
      </c>
      <c r="F242">
        <f t="shared" si="68"/>
        <v>196426048.00000003</v>
      </c>
      <c r="G242">
        <f t="shared" si="69"/>
        <v>9.5438499999999973</v>
      </c>
      <c r="H242">
        <f t="shared" si="70"/>
        <v>3.5038920000000005</v>
      </c>
      <c r="I242">
        <f t="shared" si="71"/>
        <v>6.5238709999999989</v>
      </c>
      <c r="J242">
        <f t="shared" si="72"/>
        <v>9615428875</v>
      </c>
      <c r="K242">
        <f t="shared" si="73"/>
        <v>5101666752</v>
      </c>
      <c r="L242">
        <f t="shared" si="74"/>
        <v>7358547813.5</v>
      </c>
      <c r="M242" t="s">
        <v>69</v>
      </c>
      <c r="N242">
        <f t="shared" si="87"/>
        <v>22799.999999511056</v>
      </c>
      <c r="O242">
        <f t="shared" si="75"/>
        <v>7714615.4999998705</v>
      </c>
      <c r="P242">
        <f t="shared" si="76"/>
        <v>2828559.2999999528</v>
      </c>
      <c r="Q242">
        <f t="shared" si="77"/>
        <v>5271587.3999999119</v>
      </c>
      <c r="R242">
        <f t="shared" si="78"/>
        <v>4118382340799932</v>
      </c>
      <c r="S242">
        <f t="shared" si="79"/>
        <v>86572886.954997927</v>
      </c>
      <c r="T242">
        <f t="shared" si="80"/>
        <v>2059191213686409.5</v>
      </c>
      <c r="V242" t="s">
        <v>69</v>
      </c>
      <c r="W242">
        <f t="shared" si="88"/>
        <v>22799.999999511056</v>
      </c>
      <c r="X242">
        <f t="shared" si="89"/>
        <v>5635528.8002001103</v>
      </c>
      <c r="Y242">
        <f t="shared" si="90"/>
        <v>2070847.7040240401</v>
      </c>
      <c r="Z242">
        <f t="shared" si="91"/>
        <v>3853188.2521120752</v>
      </c>
      <c r="AA242">
        <f t="shared" si="92"/>
        <v>5677795266201611</v>
      </c>
      <c r="AB242">
        <f t="shared" si="93"/>
        <v>3015154257059002</v>
      </c>
      <c r="AC242">
        <f t="shared" si="94"/>
        <v>4346474761630306.5</v>
      </c>
    </row>
    <row r="243" spans="1:29" x14ac:dyDescent="0.35">
      <c r="A243" t="s">
        <v>70</v>
      </c>
      <c r="B243" s="8">
        <v>1.746</v>
      </c>
      <c r="C243" s="2">
        <f t="shared" si="65"/>
        <v>0.65870000000000006</v>
      </c>
      <c r="D243">
        <f t="shared" si="66"/>
        <v>0.241344</v>
      </c>
      <c r="E243">
        <f t="shared" si="67"/>
        <v>663640250</v>
      </c>
      <c r="F243">
        <f t="shared" si="68"/>
        <v>351396864</v>
      </c>
      <c r="G243">
        <f t="shared" si="69"/>
        <v>10.202549999999997</v>
      </c>
      <c r="H243">
        <f t="shared" si="70"/>
        <v>3.7452360000000002</v>
      </c>
      <c r="I243">
        <f t="shared" si="71"/>
        <v>6.9738929999999986</v>
      </c>
      <c r="J243">
        <f t="shared" si="72"/>
        <v>10279069125</v>
      </c>
      <c r="K243">
        <f t="shared" si="73"/>
        <v>5453063616</v>
      </c>
      <c r="L243">
        <f t="shared" si="74"/>
        <v>7866066370.5</v>
      </c>
      <c r="M243" t="s">
        <v>70</v>
      </c>
      <c r="N243">
        <f t="shared" si="87"/>
        <v>432000</v>
      </c>
      <c r="O243">
        <f t="shared" si="75"/>
        <v>7999173.8999998709</v>
      </c>
      <c r="P243">
        <f t="shared" si="76"/>
        <v>2932819.9079999528</v>
      </c>
      <c r="Q243">
        <f t="shared" si="77"/>
        <v>5465996.9039999116</v>
      </c>
      <c r="R243">
        <f t="shared" si="78"/>
        <v>4270185786047932</v>
      </c>
      <c r="S243">
        <f t="shared" si="79"/>
        <v>90980388.554997921</v>
      </c>
      <c r="T243">
        <f t="shared" si="80"/>
        <v>2135092938514160.3</v>
      </c>
      <c r="V243" t="s">
        <v>70</v>
      </c>
      <c r="W243">
        <f t="shared" si="88"/>
        <v>432000</v>
      </c>
      <c r="X243">
        <f t="shared" si="89"/>
        <v>5793921.6002001101</v>
      </c>
      <c r="Y243">
        <f t="shared" si="90"/>
        <v>2129127.9600240402</v>
      </c>
      <c r="Z243">
        <f t="shared" si="91"/>
        <v>3961524.7801120752</v>
      </c>
      <c r="AA243">
        <f t="shared" si="92"/>
        <v>5837376012201611</v>
      </c>
      <c r="AB243">
        <f t="shared" si="93"/>
        <v>3100010309795002</v>
      </c>
      <c r="AC243">
        <f t="shared" si="94"/>
        <v>4468693160998306.5</v>
      </c>
    </row>
    <row r="244" spans="1:29" x14ac:dyDescent="0.35">
      <c r="A244" t="s">
        <v>71</v>
      </c>
      <c r="B244" s="8">
        <v>1.2929999999999999</v>
      </c>
      <c r="C244" s="2">
        <f t="shared" si="65"/>
        <v>0.45484999999999998</v>
      </c>
      <c r="D244">
        <f t="shared" si="66"/>
        <v>0.16705199999999998</v>
      </c>
      <c r="E244">
        <f t="shared" si="67"/>
        <v>458261374.99999994</v>
      </c>
      <c r="F244">
        <f t="shared" si="68"/>
        <v>243227711.99999997</v>
      </c>
      <c r="G244">
        <f t="shared" si="69"/>
        <v>10.657399999999997</v>
      </c>
      <c r="H244">
        <f t="shared" si="70"/>
        <v>3.9122880000000002</v>
      </c>
      <c r="I244">
        <f t="shared" si="71"/>
        <v>7.2848439999999988</v>
      </c>
      <c r="J244">
        <f t="shared" si="72"/>
        <v>10737330500</v>
      </c>
      <c r="K244">
        <f t="shared" si="73"/>
        <v>5696291328</v>
      </c>
      <c r="L244">
        <f t="shared" si="74"/>
        <v>8216810914</v>
      </c>
      <c r="M244" t="s">
        <v>71</v>
      </c>
      <c r="N244">
        <f t="shared" si="87"/>
        <v>3455399.9999999302</v>
      </c>
      <c r="O244">
        <f t="shared" si="75"/>
        <v>9570862.5899998397</v>
      </c>
      <c r="P244">
        <f t="shared" si="76"/>
        <v>3510051.3887999412</v>
      </c>
      <c r="Q244">
        <f t="shared" si="77"/>
        <v>6540456.9893998904</v>
      </c>
      <c r="R244">
        <f t="shared" si="78"/>
        <v>5110634822092715</v>
      </c>
      <c r="S244">
        <f t="shared" si="79"/>
        <v>127805968.51499717</v>
      </c>
      <c r="T244">
        <f t="shared" si="80"/>
        <v>2555317474949342</v>
      </c>
      <c r="V244" t="s">
        <v>71</v>
      </c>
      <c r="W244">
        <f t="shared" si="88"/>
        <v>3455399.9999999302</v>
      </c>
      <c r="X244">
        <f t="shared" si="89"/>
        <v>8069993.5802000649</v>
      </c>
      <c r="Y244">
        <f t="shared" si="90"/>
        <v>2963068.0176240234</v>
      </c>
      <c r="Z244">
        <f t="shared" si="91"/>
        <v>5516530.7989120446</v>
      </c>
      <c r="AA244">
        <f t="shared" si="92"/>
        <v>8130518532051564</v>
      </c>
      <c r="AB244">
        <f t="shared" si="93"/>
        <v>4314227033660577.5</v>
      </c>
      <c r="AC244">
        <f t="shared" si="94"/>
        <v>6222372782856071</v>
      </c>
    </row>
    <row r="245" spans="1:29" x14ac:dyDescent="0.35">
      <c r="A245" t="s">
        <v>72</v>
      </c>
      <c r="B245" s="8">
        <v>1.0189999999999999</v>
      </c>
      <c r="C245" s="2">
        <f t="shared" si="65"/>
        <v>0.33154999999999996</v>
      </c>
      <c r="D245">
        <f t="shared" si="66"/>
        <v>0.12211599999999999</v>
      </c>
      <c r="E245">
        <f t="shared" si="67"/>
        <v>334036624.99999994</v>
      </c>
      <c r="F245">
        <f t="shared" si="68"/>
        <v>177800896</v>
      </c>
      <c r="G245">
        <f t="shared" si="69"/>
        <v>10.988949999999997</v>
      </c>
      <c r="H245">
        <f t="shared" si="70"/>
        <v>4.0344040000000003</v>
      </c>
      <c r="I245">
        <f t="shared" si="71"/>
        <v>7.5116769999999988</v>
      </c>
      <c r="J245">
        <f t="shared" si="72"/>
        <v>11071367125</v>
      </c>
      <c r="K245">
        <f t="shared" si="73"/>
        <v>5874092224</v>
      </c>
      <c r="L245">
        <f t="shared" si="74"/>
        <v>8472729674.5</v>
      </c>
      <c r="M245" t="s">
        <v>72</v>
      </c>
      <c r="N245">
        <f t="shared" si="87"/>
        <v>3024000</v>
      </c>
      <c r="O245">
        <f t="shared" si="75"/>
        <v>10573469.789999839</v>
      </c>
      <c r="P245">
        <f t="shared" si="76"/>
        <v>3879330.1727999412</v>
      </c>
      <c r="Q245">
        <f t="shared" si="77"/>
        <v>7226399.98139989</v>
      </c>
      <c r="R245">
        <f t="shared" si="78"/>
        <v>5648304731596715</v>
      </c>
      <c r="S245">
        <f t="shared" si="79"/>
        <v>161036553.31499717</v>
      </c>
      <c r="T245">
        <f t="shared" si="80"/>
        <v>2824152446316634</v>
      </c>
      <c r="V245" t="s">
        <v>72</v>
      </c>
      <c r="W245">
        <f t="shared" si="88"/>
        <v>3024000</v>
      </c>
      <c r="X245">
        <f t="shared" si="89"/>
        <v>9445459.9802000653</v>
      </c>
      <c r="Y245">
        <f t="shared" si="90"/>
        <v>3468233.2656240235</v>
      </c>
      <c r="Z245">
        <f t="shared" si="91"/>
        <v>6456846.6229120446</v>
      </c>
      <c r="AA245">
        <f t="shared" si="92"/>
        <v>9516300930051564</v>
      </c>
      <c r="AB245">
        <f t="shared" si="93"/>
        <v>5049747634748577</v>
      </c>
      <c r="AC245">
        <f t="shared" si="94"/>
        <v>7283024282400070</v>
      </c>
    </row>
    <row r="246" spans="1:29" x14ac:dyDescent="0.35">
      <c r="A246" s="1"/>
      <c r="C246" s="2"/>
    </row>
    <row r="247" spans="1:29" x14ac:dyDescent="0.35">
      <c r="A247" s="1"/>
      <c r="C247" s="2"/>
    </row>
    <row r="249" spans="1:29" x14ac:dyDescent="0.35">
      <c r="B249">
        <f>MIN(B2:B218)</f>
        <v>0.35399999999999998</v>
      </c>
      <c r="C249">
        <f t="shared" ref="C249:L249" si="95">MIN(C2:C218)</f>
        <v>3.2299999999999995E-2</v>
      </c>
      <c r="D249">
        <f t="shared" si="95"/>
        <v>1.3055999999999998E-2</v>
      </c>
      <c r="E249">
        <f t="shared" si="95"/>
        <v>32542249.999999996</v>
      </c>
      <c r="F249">
        <f t="shared" si="95"/>
        <v>19009535.999999996</v>
      </c>
      <c r="G249">
        <f t="shared" si="95"/>
        <v>0.14345000000000002</v>
      </c>
      <c r="H249">
        <f t="shared" si="95"/>
        <v>5.3564000000000001E-2</v>
      </c>
      <c r="I249">
        <f t="shared" si="95"/>
        <v>9.8507000000000011E-2</v>
      </c>
      <c r="J249">
        <f t="shared" si="95"/>
        <v>144525875.00000003</v>
      </c>
      <c r="K249">
        <f t="shared" si="95"/>
        <v>77989184</v>
      </c>
      <c r="L249">
        <f t="shared" si="95"/>
        <v>111257529.50000001</v>
      </c>
    </row>
    <row r="250" spans="1:29" x14ac:dyDescent="0.35">
      <c r="B250">
        <f>MAX(B2:B218)</f>
        <v>11.260999999999999</v>
      </c>
      <c r="C250">
        <f t="shared" ref="C250:L250" si="96">MAX(C2:C218)</f>
        <v>4.9404500000000002</v>
      </c>
      <c r="D250">
        <f t="shared" si="96"/>
        <v>1.801804</v>
      </c>
      <c r="E250">
        <f t="shared" si="96"/>
        <v>4977503375</v>
      </c>
      <c r="F250">
        <f t="shared" si="96"/>
        <v>2623426623.9999995</v>
      </c>
      <c r="G250">
        <f t="shared" si="96"/>
        <v>236.83625000000006</v>
      </c>
      <c r="H250">
        <f t="shared" si="96"/>
        <v>86.592379999999991</v>
      </c>
      <c r="I250">
        <f t="shared" si="96"/>
        <v>161.71431500000003</v>
      </c>
      <c r="J250">
        <f t="shared" si="96"/>
        <v>238612521875</v>
      </c>
      <c r="K250">
        <f t="shared" si="96"/>
        <v>126078505280</v>
      </c>
      <c r="L250">
        <f t="shared" si="96"/>
        <v>182345513577.5</v>
      </c>
    </row>
    <row r="251" spans="1:29" x14ac:dyDescent="0.35">
      <c r="B251">
        <f>AVERAGE(B2:B218)</f>
        <v>2.707580645161292</v>
      </c>
      <c r="C251">
        <f t="shared" ref="C251:L251" si="97">AVERAGE(C2:C218)</f>
        <v>1.091411290322581</v>
      </c>
      <c r="D251">
        <f t="shared" si="97"/>
        <v>0.39904322580645157</v>
      </c>
      <c r="E251">
        <f t="shared" si="97"/>
        <v>1099596875</v>
      </c>
      <c r="F251">
        <f t="shared" si="97"/>
        <v>581006936.77419353</v>
      </c>
      <c r="G251">
        <f t="shared" si="97"/>
        <v>128.52594078341014</v>
      </c>
      <c r="H251">
        <f t="shared" si="97"/>
        <v>46.980569529953904</v>
      </c>
      <c r="I251">
        <f t="shared" si="97"/>
        <v>87.753255156682002</v>
      </c>
      <c r="J251">
        <f t="shared" si="97"/>
        <v>129489885339.28572</v>
      </c>
      <c r="K251">
        <f t="shared" si="97"/>
        <v>68403709235.6129</v>
      </c>
      <c r="L251">
        <f t="shared" si="97"/>
        <v>98946797287.44931</v>
      </c>
    </row>
  </sheetData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E912"/>
  <sheetViews>
    <sheetView topLeftCell="G1" workbookViewId="0">
      <selection activeCell="F44" sqref="F44"/>
    </sheetView>
  </sheetViews>
  <sheetFormatPr defaultColWidth="11.453125" defaultRowHeight="14.5" x14ac:dyDescent="0.35"/>
  <cols>
    <col min="1" max="1" width="12.7265625" bestFit="1" customWidth="1"/>
    <col min="21" max="21" width="11.54296875" bestFit="1" customWidth="1"/>
    <col min="22" max="22" width="21" bestFit="1" customWidth="1"/>
    <col min="23" max="23" width="11.54296875" bestFit="1" customWidth="1"/>
    <col min="24" max="24" width="12.54296875" bestFit="1" customWidth="1"/>
  </cols>
  <sheetData>
    <row r="1" spans="1:31" x14ac:dyDescent="0.35">
      <c r="A1" t="s">
        <v>24</v>
      </c>
      <c r="B1" t="s">
        <v>39</v>
      </c>
      <c r="C1" t="s">
        <v>33</v>
      </c>
      <c r="D1" t="s">
        <v>34</v>
      </c>
      <c r="E1" t="s">
        <v>35</v>
      </c>
      <c r="F1" t="s">
        <v>36</v>
      </c>
      <c r="G1" t="s">
        <v>37</v>
      </c>
      <c r="H1" t="s">
        <v>38</v>
      </c>
    </row>
    <row r="2" spans="1:31" x14ac:dyDescent="0.35">
      <c r="A2" s="1">
        <v>36911.65625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U2" t="s">
        <v>40</v>
      </c>
      <c r="V2" t="s">
        <v>41</v>
      </c>
      <c r="W2" t="s">
        <v>42</v>
      </c>
      <c r="X2" t="s">
        <v>43</v>
      </c>
      <c r="AA2" s="1">
        <v>36892</v>
      </c>
      <c r="AB2">
        <v>1</v>
      </c>
      <c r="AC2">
        <v>911</v>
      </c>
      <c r="AD2">
        <f>AC2*4</f>
        <v>3644</v>
      </c>
      <c r="AE2">
        <f>3700/AD2</f>
        <v>1.0153677277716795</v>
      </c>
    </row>
    <row r="3" spans="1:31" x14ac:dyDescent="0.35">
      <c r="A3" s="1">
        <v>36915.638888888891</v>
      </c>
      <c r="B3">
        <v>344100.0000001397</v>
      </c>
      <c r="C3">
        <v>41309.20500001678</v>
      </c>
      <c r="D3">
        <v>15496.887600006294</v>
      </c>
      <c r="E3">
        <v>28403.046300011538</v>
      </c>
      <c r="F3">
        <v>22563468345609.164</v>
      </c>
      <c r="G3">
        <v>49399546560020.055</v>
      </c>
      <c r="H3">
        <v>35981507452814.609</v>
      </c>
      <c r="T3">
        <v>1</v>
      </c>
      <c r="U3" s="5">
        <v>138199.87</v>
      </c>
      <c r="V3" s="4">
        <v>53805007711608.5</v>
      </c>
      <c r="W3" s="5">
        <f>U3/(24*3600)</f>
        <v>1.5995355324074074</v>
      </c>
      <c r="X3" s="4">
        <f>V3/(24*3600)</f>
        <v>622743144.81028354</v>
      </c>
      <c r="AA3" s="1">
        <v>36893</v>
      </c>
      <c r="AB3">
        <v>2</v>
      </c>
    </row>
    <row r="4" spans="1:31" x14ac:dyDescent="0.35">
      <c r="A4" s="1">
        <v>36918.659722222219</v>
      </c>
      <c r="B4">
        <v>260999.9999995809</v>
      </c>
      <c r="C4">
        <v>446720.50499936583</v>
      </c>
      <c r="D4">
        <v>163582.02359976852</v>
      </c>
      <c r="E4">
        <v>305151.26429956721</v>
      </c>
      <c r="F4">
        <v>238175426361262.94</v>
      </c>
      <c r="G4">
        <v>302481082175613.69</v>
      </c>
      <c r="H4">
        <v>270328254268438.31</v>
      </c>
      <c r="T4">
        <v>2</v>
      </c>
      <c r="U4" s="5">
        <v>193968.86</v>
      </c>
      <c r="V4" s="4">
        <v>75493510169667</v>
      </c>
      <c r="W4" s="5">
        <f t="shared" ref="W4:W15" si="0">U4/(24*3600)</f>
        <v>2.2450099537037036</v>
      </c>
      <c r="X4" s="4">
        <f t="shared" ref="X4:X15" si="1">V4/(24*3600)</f>
        <v>873767478.81559026</v>
      </c>
      <c r="AA4" s="1">
        <v>36894</v>
      </c>
      <c r="AB4">
        <v>3</v>
      </c>
    </row>
    <row r="5" spans="1:31" x14ac:dyDescent="0.35">
      <c r="A5" s="1">
        <v>36938.131944444445</v>
      </c>
      <c r="B5">
        <v>1682400.0000003492</v>
      </c>
      <c r="C5">
        <v>4515100.1850002101</v>
      </c>
      <c r="D5">
        <v>1648441.3452000767</v>
      </c>
      <c r="E5">
        <v>3081770.7651001434</v>
      </c>
      <c r="F5">
        <v>2400130598611311.5</v>
      </c>
      <c r="G5">
        <v>4095794015040401</v>
      </c>
      <c r="H5">
        <v>3247962306825856</v>
      </c>
      <c r="T5">
        <v>3</v>
      </c>
      <c r="U5" s="5">
        <v>69557.14</v>
      </c>
      <c r="V5" s="3">
        <v>27109914948957.199</v>
      </c>
      <c r="W5" s="5">
        <f t="shared" si="0"/>
        <v>0.80505949074074068</v>
      </c>
      <c r="X5" s="4">
        <f t="shared" si="1"/>
        <v>313772163.76107872</v>
      </c>
      <c r="AA5" s="1">
        <v>36895</v>
      </c>
      <c r="AB5">
        <v>4</v>
      </c>
    </row>
    <row r="6" spans="1:31" x14ac:dyDescent="0.35">
      <c r="A6" s="1">
        <v>36945.645833333336</v>
      </c>
      <c r="B6">
        <v>649200.0000001397</v>
      </c>
      <c r="C6">
        <v>6497789.4450006364</v>
      </c>
      <c r="D6">
        <v>2371855.2924002325</v>
      </c>
      <c r="E6">
        <v>4434822.3687004345</v>
      </c>
      <c r="F6">
        <v>3453421305734738</v>
      </c>
      <c r="G6">
        <v>6612838143476142</v>
      </c>
      <c r="H6">
        <v>5033129724605440</v>
      </c>
      <c r="T6">
        <v>4</v>
      </c>
      <c r="U6" s="3">
        <v>72517.820000000007</v>
      </c>
      <c r="V6" s="3">
        <v>28261321994600</v>
      </c>
      <c r="W6" s="5">
        <f t="shared" si="0"/>
        <v>0.83932662037037042</v>
      </c>
      <c r="X6" s="4">
        <f t="shared" si="1"/>
        <v>327098634.19675928</v>
      </c>
      <c r="AA6" s="1">
        <v>36896</v>
      </c>
      <c r="AB6">
        <v>5</v>
      </c>
    </row>
    <row r="7" spans="1:31" x14ac:dyDescent="0.35">
      <c r="A7" s="1">
        <v>36947.638888888891</v>
      </c>
      <c r="B7">
        <v>172199.99999993015</v>
      </c>
      <c r="C7">
        <v>7290804.8850003146</v>
      </c>
      <c r="D7">
        <v>2661086.5452001151</v>
      </c>
      <c r="E7">
        <v>4975945.7151002148</v>
      </c>
      <c r="F7">
        <v>3874542009811367</v>
      </c>
      <c r="G7">
        <v>7701603639475700</v>
      </c>
      <c r="H7">
        <v>5788072824643534</v>
      </c>
      <c r="T7">
        <v>5</v>
      </c>
      <c r="U7" s="3">
        <v>28498.74</v>
      </c>
      <c r="V7" s="3">
        <v>11142346057363.6</v>
      </c>
      <c r="W7" s="5">
        <f t="shared" si="0"/>
        <v>0.32984652777777779</v>
      </c>
      <c r="X7" s="4">
        <f t="shared" si="1"/>
        <v>128962338.62689352</v>
      </c>
      <c r="AA7" s="1">
        <v>36897</v>
      </c>
      <c r="AB7">
        <v>6</v>
      </c>
    </row>
    <row r="8" spans="1:31" x14ac:dyDescent="0.35">
      <c r="A8" s="1">
        <v>36950.149305555555</v>
      </c>
      <c r="B8">
        <v>216899.99999979045</v>
      </c>
      <c r="C8">
        <v>7601557.5150000146</v>
      </c>
      <c r="D8">
        <v>2774617.2108000056</v>
      </c>
      <c r="E8">
        <v>5188087.3629000103</v>
      </c>
      <c r="F8">
        <v>4039842658924807.5</v>
      </c>
      <c r="G8">
        <v>9238293580587816</v>
      </c>
      <c r="H8">
        <v>6639068119756312</v>
      </c>
      <c r="T8">
        <v>6</v>
      </c>
      <c r="U8" s="3">
        <v>78652.990000000005</v>
      </c>
      <c r="V8" s="3">
        <v>30647281766368.301</v>
      </c>
      <c r="W8" s="5">
        <f t="shared" si="0"/>
        <v>0.9103355324074075</v>
      </c>
      <c r="X8" s="4">
        <f t="shared" si="1"/>
        <v>354713909.33296645</v>
      </c>
      <c r="AA8" s="1">
        <v>36898</v>
      </c>
      <c r="AB8">
        <v>7</v>
      </c>
    </row>
    <row r="9" spans="1:31" x14ac:dyDescent="0.35">
      <c r="A9" s="1">
        <v>36952.138888888891</v>
      </c>
      <c r="B9">
        <v>171900.00000020955</v>
      </c>
      <c r="C9">
        <v>7930685.8500004159</v>
      </c>
      <c r="D9">
        <v>2894787.0000001523</v>
      </c>
      <c r="E9">
        <v>5412736.4250002839</v>
      </c>
      <c r="F9">
        <v>4214809872000221</v>
      </c>
      <c r="G9">
        <v>1.0631135394298314E+16</v>
      </c>
      <c r="H9">
        <v>7422972633149268</v>
      </c>
      <c r="T9">
        <v>7</v>
      </c>
      <c r="U9" s="3">
        <v>41862.03</v>
      </c>
      <c r="V9" s="3">
        <v>16339315582852.199</v>
      </c>
      <c r="W9" s="5">
        <f t="shared" si="0"/>
        <v>0.48451423611111111</v>
      </c>
      <c r="X9" s="4">
        <f t="shared" si="1"/>
        <v>189112448.87560415</v>
      </c>
      <c r="AA9" s="1">
        <v>36899</v>
      </c>
      <c r="AB9">
        <v>8</v>
      </c>
    </row>
    <row r="10" spans="1:31" x14ac:dyDescent="0.35">
      <c r="A10" s="1">
        <v>36959.142361111109</v>
      </c>
      <c r="B10">
        <v>605099.9999997206</v>
      </c>
      <c r="C10">
        <v>8606189.2350001037</v>
      </c>
      <c r="D10">
        <v>3141747.6732000383</v>
      </c>
      <c r="E10">
        <v>5873968.4541000705</v>
      </c>
      <c r="F10">
        <v>4574384612179255</v>
      </c>
      <c r="G10">
        <v>1.5893610550270284E+16</v>
      </c>
      <c r="H10">
        <v>1.023399758122477E+16</v>
      </c>
      <c r="T10">
        <v>8</v>
      </c>
      <c r="U10" s="3">
        <v>94202.84</v>
      </c>
      <c r="V10" s="3">
        <v>36694605942300.703</v>
      </c>
      <c r="W10" s="5">
        <f t="shared" si="0"/>
        <v>1.0903106481481482</v>
      </c>
      <c r="X10" s="4">
        <f t="shared" si="1"/>
        <v>424706087.295147</v>
      </c>
      <c r="AA10" s="1">
        <v>36900</v>
      </c>
      <c r="AB10">
        <v>9</v>
      </c>
    </row>
    <row r="11" spans="1:31" x14ac:dyDescent="0.35">
      <c r="A11" s="1">
        <v>36959.65625</v>
      </c>
      <c r="B11">
        <v>44400.000000139698</v>
      </c>
      <c r="C11">
        <v>8670220.6950003058</v>
      </c>
      <c r="D11">
        <v>3165140.6124001117</v>
      </c>
      <c r="E11">
        <v>5917680.6537002083</v>
      </c>
      <c r="F11">
        <v>4608444731654562</v>
      </c>
      <c r="G11">
        <v>1.6313811633100406E+16</v>
      </c>
      <c r="H11">
        <v>1.0461128182377484E+16</v>
      </c>
      <c r="T11">
        <v>9</v>
      </c>
      <c r="U11" s="5">
        <v>126240.75</v>
      </c>
      <c r="V11" s="3">
        <v>49154118331017.297</v>
      </c>
      <c r="W11" s="5">
        <f t="shared" si="0"/>
        <v>1.4611197916666667</v>
      </c>
      <c r="X11" s="4">
        <f t="shared" si="1"/>
        <v>568913406.60899651</v>
      </c>
      <c r="AA11" s="1">
        <v>36901</v>
      </c>
      <c r="AB11">
        <v>10</v>
      </c>
    </row>
    <row r="12" spans="1:31" x14ac:dyDescent="0.35">
      <c r="A12" s="1">
        <v>36963.638888888891</v>
      </c>
      <c r="B12">
        <v>344100.0000001397</v>
      </c>
      <c r="C12">
        <v>8882014.2450003922</v>
      </c>
      <c r="D12">
        <v>3242769.5724001434</v>
      </c>
      <c r="E12">
        <v>6062391.9087002678</v>
      </c>
      <c r="F12">
        <v>4721472497414608</v>
      </c>
      <c r="G12">
        <v>1.9683397790784976E+16</v>
      </c>
      <c r="H12">
        <v>1.2202435144099792E+16</v>
      </c>
      <c r="T12">
        <v>10</v>
      </c>
      <c r="U12" s="3">
        <v>19380.53</v>
      </c>
      <c r="V12" s="3">
        <v>7596281742257.6104</v>
      </c>
      <c r="W12" s="5">
        <f t="shared" si="0"/>
        <v>0.22431168981481481</v>
      </c>
      <c r="X12" s="4">
        <f t="shared" si="1"/>
        <v>87919927.572426051</v>
      </c>
      <c r="AA12" s="1">
        <v>36902</v>
      </c>
      <c r="AB12">
        <v>11</v>
      </c>
    </row>
    <row r="13" spans="1:31" x14ac:dyDescent="0.35">
      <c r="A13" s="1">
        <v>36968.138888888891</v>
      </c>
      <c r="B13">
        <v>388800</v>
      </c>
      <c r="C13">
        <v>9402131.4450003915</v>
      </c>
      <c r="D13">
        <v>3432822.7884001434</v>
      </c>
      <c r="E13">
        <v>6417477.1167002674</v>
      </c>
      <c r="F13">
        <v>4998189979910608</v>
      </c>
      <c r="G13">
        <v>2.3767424480218576E+16</v>
      </c>
      <c r="H13">
        <v>1.4382807230064592E+16</v>
      </c>
      <c r="U13" s="5"/>
      <c r="V13" s="4"/>
      <c r="W13" s="5">
        <f t="shared" si="0"/>
        <v>0</v>
      </c>
      <c r="X13" s="4">
        <f t="shared" si="1"/>
        <v>0</v>
      </c>
      <c r="AA13" s="1">
        <v>36903</v>
      </c>
      <c r="AB13">
        <v>12</v>
      </c>
    </row>
    <row r="14" spans="1:31" x14ac:dyDescent="0.35">
      <c r="A14" s="1">
        <v>36968.649305555555</v>
      </c>
      <c r="B14">
        <v>44099.999999790452</v>
      </c>
      <c r="C14">
        <v>9461324.6700001098</v>
      </c>
      <c r="D14">
        <v>3454452.0744000408</v>
      </c>
      <c r="E14">
        <v>6457888.3722000755</v>
      </c>
      <c r="F14">
        <v>5029682220326458</v>
      </c>
      <c r="G14">
        <v>2.4262151229387424E+16</v>
      </c>
      <c r="H14">
        <v>1.464591672485694E+16</v>
      </c>
      <c r="U14" s="5"/>
      <c r="V14" s="4"/>
      <c r="W14" s="5">
        <f t="shared" si="0"/>
        <v>0</v>
      </c>
      <c r="X14" s="4">
        <f t="shared" si="1"/>
        <v>0</v>
      </c>
      <c r="AA14" s="1">
        <v>36904</v>
      </c>
      <c r="AB14">
        <v>13</v>
      </c>
    </row>
    <row r="15" spans="1:31" x14ac:dyDescent="0.35">
      <c r="A15" s="1">
        <v>36991.65625</v>
      </c>
      <c r="B15">
        <v>1987800.0000000698</v>
      </c>
      <c r="C15">
        <v>11938024.080000198</v>
      </c>
      <c r="D15">
        <v>4359624.6336000729</v>
      </c>
      <c r="E15">
        <v>8148824.3568001352</v>
      </c>
      <c r="F15">
        <v>6347613466521704</v>
      </c>
      <c r="G15">
        <v>4.7879806557273056E+16</v>
      </c>
      <c r="H15">
        <v>2.711371001189738E+16</v>
      </c>
      <c r="U15" s="5"/>
      <c r="V15" s="4"/>
      <c r="W15" s="5">
        <f t="shared" si="0"/>
        <v>0</v>
      </c>
      <c r="X15" s="4">
        <f t="shared" si="1"/>
        <v>0</v>
      </c>
      <c r="AA15" s="1">
        <v>36905</v>
      </c>
      <c r="AB15">
        <v>14</v>
      </c>
    </row>
    <row r="16" spans="1:31" x14ac:dyDescent="0.35">
      <c r="A16" s="1">
        <v>36995.638888888891</v>
      </c>
      <c r="B16">
        <v>344100.0000001397</v>
      </c>
      <c r="C16">
        <v>12263473.860000329</v>
      </c>
      <c r="D16">
        <v>4478674.9752001213</v>
      </c>
      <c r="E16">
        <v>8371074.4176002257</v>
      </c>
      <c r="F16">
        <v>6520950763891374</v>
      </c>
      <c r="G16">
        <v>5.2141500428909984E+16</v>
      </c>
      <c r="H16">
        <v>2.933122559640068E+16</v>
      </c>
      <c r="T16" t="s">
        <v>45</v>
      </c>
      <c r="U16" s="3">
        <v>152105.60999999999</v>
      </c>
      <c r="V16" s="3">
        <v>174644194884333</v>
      </c>
      <c r="W16" s="5">
        <f t="shared" ref="W16:W20" si="2">U16/(24*3600)</f>
        <v>1.7604815972222221</v>
      </c>
      <c r="X16" s="4">
        <f t="shared" ref="X16:X20" si="3">V16/(24*3600)</f>
        <v>2021344848.1982987</v>
      </c>
      <c r="AA16" s="1">
        <v>36906</v>
      </c>
      <c r="AB16">
        <v>15</v>
      </c>
    </row>
    <row r="17" spans="1:28" x14ac:dyDescent="0.35">
      <c r="A17" s="1">
        <v>37000.649305555555</v>
      </c>
      <c r="B17">
        <v>432899.99999979045</v>
      </c>
      <c r="C17">
        <v>12370768.125000278</v>
      </c>
      <c r="D17">
        <v>4518333.810000102</v>
      </c>
      <c r="E17">
        <v>8444550.9675001893</v>
      </c>
      <c r="F17">
        <v>6578694027360146</v>
      </c>
      <c r="G17">
        <v>5.756072953088496E+16</v>
      </c>
      <c r="H17">
        <v>3.2069711779122552E+16</v>
      </c>
      <c r="T17" t="s">
        <v>46</v>
      </c>
      <c r="U17" s="3">
        <v>70359.97</v>
      </c>
      <c r="V17" s="3">
        <v>27422137361592.199</v>
      </c>
      <c r="W17" s="5">
        <f t="shared" si="2"/>
        <v>0.81435150462962969</v>
      </c>
      <c r="X17" s="4">
        <f t="shared" si="3"/>
        <v>317385849.0925023</v>
      </c>
      <c r="AA17" s="1">
        <v>36907</v>
      </c>
      <c r="AB17">
        <v>16</v>
      </c>
    </row>
    <row r="18" spans="1:28" x14ac:dyDescent="0.35">
      <c r="A18" s="1">
        <v>37002.642361111109</v>
      </c>
      <c r="B18">
        <v>172199.99999993015</v>
      </c>
      <c r="C18">
        <v>12425381.355000256</v>
      </c>
      <c r="D18">
        <v>4538458.4796000943</v>
      </c>
      <c r="E18">
        <v>8481919.9173001759</v>
      </c>
      <c r="F18">
        <v>6607995546297734</v>
      </c>
      <c r="G18">
        <v>5.9745704996138472E+16</v>
      </c>
      <c r="H18">
        <v>3.3176850271218104E+16</v>
      </c>
      <c r="T18" t="s">
        <v>47</v>
      </c>
      <c r="U18" s="3">
        <v>40607.21</v>
      </c>
      <c r="V18" s="3">
        <v>15851317042146.5</v>
      </c>
      <c r="W18" s="5">
        <f t="shared" si="2"/>
        <v>0.46999085648148148</v>
      </c>
      <c r="X18" s="4">
        <f t="shared" si="3"/>
        <v>183464317.61743635</v>
      </c>
      <c r="AA18" s="1">
        <v>36908</v>
      </c>
      <c r="AB18">
        <v>17</v>
      </c>
    </row>
    <row r="19" spans="1:28" x14ac:dyDescent="0.35">
      <c r="A19" s="1">
        <v>37007.65625</v>
      </c>
      <c r="B19">
        <v>433200.0000001397</v>
      </c>
      <c r="C19">
        <v>12643280.955000326</v>
      </c>
      <c r="D19">
        <v>4618427.1996001201</v>
      </c>
      <c r="E19">
        <v>8630854.0773002226</v>
      </c>
      <c r="F19">
        <v>6724430002617772</v>
      </c>
      <c r="G19">
        <v>6.535883731278668E+16</v>
      </c>
      <c r="H19">
        <v>3.6041633657702224E+16</v>
      </c>
      <c r="T19" t="s">
        <v>48</v>
      </c>
      <c r="U19" s="3">
        <v>113293.49</v>
      </c>
      <c r="V19" s="3">
        <v>44118939635617.398</v>
      </c>
      <c r="W19" s="5">
        <f t="shared" si="2"/>
        <v>1.3112672453703704</v>
      </c>
      <c r="X19" s="4">
        <f t="shared" si="3"/>
        <v>510635875.41223842</v>
      </c>
      <c r="AA19" s="1">
        <v>36909</v>
      </c>
      <c r="AB19">
        <v>18</v>
      </c>
    </row>
    <row r="20" spans="1:28" x14ac:dyDescent="0.35">
      <c r="A20" s="1">
        <v>37009.645833333336</v>
      </c>
      <c r="B20">
        <v>171900.00000020955</v>
      </c>
      <c r="C20">
        <v>12979603.305000735</v>
      </c>
      <c r="D20">
        <v>4741218.80760027</v>
      </c>
      <c r="E20">
        <v>8860411.0563005023</v>
      </c>
      <c r="F20">
        <v>6903214583865990</v>
      </c>
      <c r="G20">
        <v>6.7764993651266416E+16</v>
      </c>
      <c r="H20">
        <v>3.73341041175662E+16</v>
      </c>
      <c r="T20" t="s">
        <v>49</v>
      </c>
      <c r="U20" s="3">
        <v>19380.53</v>
      </c>
      <c r="V20" s="3">
        <v>7596281742257.6104</v>
      </c>
      <c r="W20" s="5">
        <f t="shared" si="2"/>
        <v>0.22431168981481481</v>
      </c>
      <c r="X20" s="4">
        <f t="shared" si="3"/>
        <v>87919927.572426051</v>
      </c>
      <c r="AA20" s="1">
        <v>36910</v>
      </c>
      <c r="AB20">
        <v>19</v>
      </c>
    </row>
    <row r="21" spans="1:28" x14ac:dyDescent="0.35">
      <c r="A21" s="1">
        <v>37011.638888888891</v>
      </c>
      <c r="B21">
        <v>172199.99999993015</v>
      </c>
      <c r="C21">
        <v>13102175.265000686</v>
      </c>
      <c r="D21">
        <v>4786110.6588002518</v>
      </c>
      <c r="E21">
        <v>8944142.9619004689</v>
      </c>
      <c r="F21">
        <v>6968577119213163</v>
      </c>
      <c r="G21">
        <v>7.0240711750811008E+16</v>
      </c>
      <c r="H21">
        <v>3.8604644435012088E+16</v>
      </c>
      <c r="U21" s="5"/>
      <c r="V21" s="4"/>
      <c r="W21" s="5"/>
      <c r="X21" s="4"/>
      <c r="AA21" s="1">
        <v>36911</v>
      </c>
      <c r="AB21">
        <v>20</v>
      </c>
    </row>
    <row r="22" spans="1:28" x14ac:dyDescent="0.35">
      <c r="A22" s="1">
        <v>37016.649305555555</v>
      </c>
      <c r="B22">
        <v>432899.99999979045</v>
      </c>
      <c r="C22">
        <v>13323235.65000058</v>
      </c>
      <c r="D22">
        <v>4867230.9240002129</v>
      </c>
      <c r="E22">
        <v>9095233.2870003954</v>
      </c>
      <c r="F22">
        <v>7086688225344306</v>
      </c>
      <c r="G22">
        <v>7.6582622887678336E+16</v>
      </c>
      <c r="H22">
        <v>4.183465555651132E+16</v>
      </c>
      <c r="U22" s="5"/>
      <c r="V22" s="4"/>
      <c r="W22" s="5"/>
      <c r="X22" s="4"/>
      <c r="AA22" s="1">
        <v>36912</v>
      </c>
      <c r="AB22">
        <v>21</v>
      </c>
    </row>
    <row r="23" spans="1:28" x14ac:dyDescent="0.35">
      <c r="A23" s="1">
        <v>37018.642361111109</v>
      </c>
      <c r="B23">
        <v>172199.99999993015</v>
      </c>
      <c r="C23">
        <v>13554138.630000485</v>
      </c>
      <c r="D23">
        <v>4951603.4136001784</v>
      </c>
      <c r="E23">
        <v>9252871.0218003318</v>
      </c>
      <c r="F23">
        <v>7209534570201856</v>
      </c>
      <c r="G23">
        <v>7.9228169851082064E+16</v>
      </c>
      <c r="H23">
        <v>4.321885221064196E+16</v>
      </c>
      <c r="U23" s="5"/>
      <c r="V23" s="4"/>
      <c r="W23" s="5"/>
      <c r="X23" s="4"/>
      <c r="AA23" s="1">
        <v>36913</v>
      </c>
      <c r="AB23">
        <v>22</v>
      </c>
    </row>
    <row r="24" spans="1:28" x14ac:dyDescent="0.35">
      <c r="A24" s="1">
        <v>37020.631944444445</v>
      </c>
      <c r="B24">
        <v>171900.00000020955</v>
      </c>
      <c r="C24">
        <v>13668993.615000624</v>
      </c>
      <c r="D24">
        <v>4993682.4708002293</v>
      </c>
      <c r="E24">
        <v>9331338.0429004263</v>
      </c>
      <c r="F24">
        <v>7270801677485131</v>
      </c>
      <c r="G24">
        <v>8.193037495493816E+16</v>
      </c>
      <c r="H24">
        <v>4.4600588316211648E+16</v>
      </c>
      <c r="U24" s="5"/>
      <c r="V24" s="4"/>
      <c r="W24" s="5"/>
      <c r="X24" s="4"/>
      <c r="AA24" s="1">
        <v>36914</v>
      </c>
      <c r="AB24">
        <v>23</v>
      </c>
    </row>
    <row r="25" spans="1:28" x14ac:dyDescent="0.35">
      <c r="A25" s="1">
        <v>37021.663194444445</v>
      </c>
      <c r="B25">
        <v>89100</v>
      </c>
      <c r="C25">
        <v>13696610.160000624</v>
      </c>
      <c r="D25">
        <v>5003861.6112002293</v>
      </c>
      <c r="E25">
        <v>9350235.8856004272</v>
      </c>
      <c r="F25">
        <v>7285622505907531</v>
      </c>
      <c r="G25">
        <v>8.334581518273976E+16</v>
      </c>
      <c r="H25">
        <v>4.5315718844323648E+16</v>
      </c>
      <c r="U25" s="5"/>
      <c r="V25" s="4"/>
      <c r="W25" s="5"/>
      <c r="X25" s="4"/>
      <c r="AA25" s="1">
        <v>36915</v>
      </c>
      <c r="AB25">
        <v>24</v>
      </c>
    </row>
    <row r="26" spans="1:28" x14ac:dyDescent="0.35">
      <c r="A26" s="1">
        <v>37023.142361111109</v>
      </c>
      <c r="B26">
        <v>127799.99999979045</v>
      </c>
      <c r="C26">
        <v>13889140.860000309</v>
      </c>
      <c r="D26">
        <v>5074192.5072001135</v>
      </c>
      <c r="E26">
        <v>9481666.6836002115</v>
      </c>
      <c r="F26">
        <v>7388024290483363</v>
      </c>
      <c r="G26">
        <v>8.5478444364765056E+16</v>
      </c>
      <c r="H26">
        <v>4.6433234327624208E+16</v>
      </c>
      <c r="V26" s="4"/>
      <c r="W26" t="s">
        <v>44</v>
      </c>
      <c r="X26" s="4"/>
      <c r="AA26" s="1">
        <v>36916</v>
      </c>
      <c r="AB26">
        <v>25</v>
      </c>
    </row>
    <row r="27" spans="1:28" x14ac:dyDescent="0.35">
      <c r="A27" s="1">
        <v>37023.652777777781</v>
      </c>
      <c r="B27">
        <v>44100.000000419095</v>
      </c>
      <c r="C27">
        <v>13963515.510001015</v>
      </c>
      <c r="D27">
        <v>5101354.5792003712</v>
      </c>
      <c r="E27">
        <v>9532435.0446006935</v>
      </c>
      <c r="F27">
        <v>7427572267315739</v>
      </c>
      <c r="G27">
        <v>8.6253899594558032E+16</v>
      </c>
      <c r="H27">
        <v>4.6840735930936888E+16</v>
      </c>
      <c r="V27" s="4"/>
      <c r="X27" s="4"/>
      <c r="AA27" s="1">
        <v>36917</v>
      </c>
      <c r="AB27">
        <v>26</v>
      </c>
    </row>
    <row r="28" spans="1:28" x14ac:dyDescent="0.35">
      <c r="A28" s="1">
        <v>37025.135416666664</v>
      </c>
      <c r="B28">
        <v>128099.99999951106</v>
      </c>
      <c r="C28">
        <v>14272018.739999838</v>
      </c>
      <c r="D28">
        <v>5213951.404799941</v>
      </c>
      <c r="E28">
        <v>9742985.0723998901</v>
      </c>
      <c r="F28">
        <v>7591513245388713</v>
      </c>
      <c r="G28">
        <v>8.8670353382952016E+16</v>
      </c>
      <c r="H28">
        <v>4.8130933314170368E+16</v>
      </c>
      <c r="V28" s="4"/>
      <c r="X28" s="4"/>
      <c r="AA28" s="1">
        <v>36918</v>
      </c>
      <c r="AB28">
        <v>27</v>
      </c>
    </row>
    <row r="29" spans="1:28" x14ac:dyDescent="0.35">
      <c r="A29" s="1">
        <v>37025.645833333336</v>
      </c>
      <c r="B29">
        <v>44100.000000419095</v>
      </c>
      <c r="C29">
        <v>14337661.590000462</v>
      </c>
      <c r="D29">
        <v>5237931.2208001688</v>
      </c>
      <c r="E29">
        <v>9787796.4054003153</v>
      </c>
      <c r="F29">
        <v>7626427857485045</v>
      </c>
      <c r="G29">
        <v>8.9537161922211456E+16</v>
      </c>
      <c r="H29">
        <v>4.8581794889848248E+16</v>
      </c>
      <c r="V29" s="4"/>
      <c r="X29" s="4"/>
      <c r="AA29" s="1">
        <v>36919</v>
      </c>
      <c r="AB29">
        <v>28</v>
      </c>
    </row>
    <row r="30" spans="1:28" x14ac:dyDescent="0.35">
      <c r="A30" s="1">
        <v>37027.638888888891</v>
      </c>
      <c r="B30">
        <v>172199.99999993015</v>
      </c>
      <c r="C30">
        <v>14460621.000000412</v>
      </c>
      <c r="D30">
        <v>5282964.2760001505</v>
      </c>
      <c r="E30">
        <v>9871792.6380002815</v>
      </c>
      <c r="F30">
        <v>7691995985856218</v>
      </c>
      <c r="G30">
        <v>9.2987411013371664E+16</v>
      </c>
      <c r="H30">
        <v>5.0339703499613944E+16</v>
      </c>
      <c r="V30" s="4"/>
      <c r="X30" s="4"/>
      <c r="AA30" s="1">
        <v>36920</v>
      </c>
      <c r="AB30">
        <v>29</v>
      </c>
    </row>
    <row r="31" spans="1:28" x14ac:dyDescent="0.35">
      <c r="A31" s="1">
        <v>37032.649305555555</v>
      </c>
      <c r="B31">
        <v>432899.99999979045</v>
      </c>
      <c r="C31">
        <v>15347135.264999982</v>
      </c>
      <c r="D31">
        <v>5606605.5107999938</v>
      </c>
      <c r="E31">
        <v>10476870.387899987</v>
      </c>
      <c r="F31">
        <v>8163217623724790</v>
      </c>
      <c r="G31">
        <v>1.0213234247448723E+17</v>
      </c>
      <c r="H31">
        <v>5.5147780049106008E+16</v>
      </c>
      <c r="V31" s="4"/>
      <c r="X31" s="4"/>
      <c r="AA31" s="1">
        <v>36921</v>
      </c>
      <c r="AB31">
        <v>30</v>
      </c>
    </row>
    <row r="32" spans="1:28" x14ac:dyDescent="0.35">
      <c r="A32" s="1">
        <v>37034.642361111109</v>
      </c>
      <c r="B32">
        <v>172199.99999993015</v>
      </c>
      <c r="C32">
        <v>15743401.904999821</v>
      </c>
      <c r="D32">
        <v>5751243.8675999353</v>
      </c>
      <c r="E32">
        <v>10747322.886299878</v>
      </c>
      <c r="F32">
        <v>8373811071225505</v>
      </c>
      <c r="G32">
        <v>1.0598062868614646E+17</v>
      </c>
      <c r="H32">
        <v>5.7177219878685984E+16</v>
      </c>
      <c r="AA32" s="1">
        <v>36922</v>
      </c>
      <c r="AB32">
        <v>31</v>
      </c>
    </row>
    <row r="33" spans="1:28" x14ac:dyDescent="0.35">
      <c r="A33" s="1">
        <v>37037.663194444445</v>
      </c>
      <c r="B33">
        <v>261000.00000020955</v>
      </c>
      <c r="C33">
        <v>16202722.755000189</v>
      </c>
      <c r="D33">
        <v>5918976.0396000696</v>
      </c>
      <c r="E33">
        <v>11060849.39730013</v>
      </c>
      <c r="F33">
        <v>8618029113657701</v>
      </c>
      <c r="G33">
        <v>1.1205761502848734E+17</v>
      </c>
      <c r="H33">
        <v>6.033782207107252E+16</v>
      </c>
      <c r="AA33" s="1">
        <v>36923</v>
      </c>
      <c r="AB33">
        <v>32</v>
      </c>
    </row>
    <row r="34" spans="1:28" x14ac:dyDescent="0.35">
      <c r="A34" s="1">
        <v>37039.652777777781</v>
      </c>
      <c r="B34">
        <v>171900.00000020955</v>
      </c>
      <c r="C34">
        <v>16612764.420000689</v>
      </c>
      <c r="D34">
        <v>6068634.2424002523</v>
      </c>
      <c r="E34">
        <v>11340699.331200471</v>
      </c>
      <c r="F34">
        <v>8835931456934767</v>
      </c>
      <c r="G34">
        <v>1.162779463075837E+17</v>
      </c>
      <c r="H34">
        <v>6.2556938882259232E+16</v>
      </c>
      <c r="AA34" s="1">
        <v>36924</v>
      </c>
      <c r="AB34">
        <v>33</v>
      </c>
    </row>
    <row r="35" spans="1:28" x14ac:dyDescent="0.35">
      <c r="A35" s="1">
        <v>37041.645833333336</v>
      </c>
      <c r="B35">
        <v>172199.99999993015</v>
      </c>
      <c r="C35">
        <v>17113487.580000486</v>
      </c>
      <c r="D35">
        <v>6251341.1976001784</v>
      </c>
      <c r="E35">
        <v>11682414.388800332</v>
      </c>
      <c r="F35">
        <v>9101952783705860</v>
      </c>
      <c r="G35">
        <v>1.2077166423853867E+17</v>
      </c>
      <c r="H35">
        <v>6.4936808511122264E+16</v>
      </c>
      <c r="AA35" s="1">
        <v>36925</v>
      </c>
      <c r="AB35">
        <v>34</v>
      </c>
    </row>
    <row r="36" spans="1:28" x14ac:dyDescent="0.35">
      <c r="A36" s="1">
        <v>37048.649305555555</v>
      </c>
      <c r="B36">
        <v>605099.9999997206</v>
      </c>
      <c r="C36">
        <v>17414313.045000348</v>
      </c>
      <c r="D36">
        <v>6361752.5844001276</v>
      </c>
      <c r="E36">
        <v>11888032.814700238</v>
      </c>
      <c r="F36">
        <v>9262711762886586</v>
      </c>
      <c r="G36">
        <v>1.3672306619112651E+17</v>
      </c>
      <c r="H36">
        <v>7.2992888977006544E+16</v>
      </c>
      <c r="AA36" s="1">
        <v>36926</v>
      </c>
      <c r="AB36">
        <v>35</v>
      </c>
    </row>
    <row r="37" spans="1:28" x14ac:dyDescent="0.35">
      <c r="A37" s="1">
        <v>37053.663194444445</v>
      </c>
      <c r="B37">
        <v>433200.0000001397</v>
      </c>
      <c r="C37">
        <v>17656190.265000425</v>
      </c>
      <c r="D37">
        <v>6450459.8148001563</v>
      </c>
      <c r="E37">
        <v>12053325.039900292</v>
      </c>
      <c r="F37">
        <v>9391869490349028</v>
      </c>
      <c r="G37">
        <v>1.4827206745827904E+17</v>
      </c>
      <c r="H37">
        <v>7.8831968474314032E+16</v>
      </c>
      <c r="AA37" s="1">
        <v>36927</v>
      </c>
      <c r="AB37">
        <v>36</v>
      </c>
    </row>
    <row r="38" spans="1:28" x14ac:dyDescent="0.35">
      <c r="A38" s="1">
        <v>37055.652777777781</v>
      </c>
      <c r="B38">
        <v>171900.00000020955</v>
      </c>
      <c r="C38">
        <v>17813667.855000619</v>
      </c>
      <c r="D38">
        <v>6508072.4436002262</v>
      </c>
      <c r="E38">
        <v>12160870.149300423</v>
      </c>
      <c r="F38">
        <v>9475753477881930</v>
      </c>
      <c r="G38">
        <v>1.5293876150542714E+17</v>
      </c>
      <c r="H38">
        <v>8.1207257491654528E+16</v>
      </c>
      <c r="AA38" s="1">
        <v>36928</v>
      </c>
      <c r="AB38">
        <v>37</v>
      </c>
    </row>
    <row r="39" spans="1:28" x14ac:dyDescent="0.35">
      <c r="A39" s="1">
        <v>37078.65625</v>
      </c>
      <c r="B39">
        <v>1987499.9999997206</v>
      </c>
      <c r="C39">
        <v>18210571.605000563</v>
      </c>
      <c r="D39">
        <v>6655274.6436002059</v>
      </c>
      <c r="E39">
        <v>12432923.124300385</v>
      </c>
      <c r="F39">
        <v>9690079881081900</v>
      </c>
      <c r="G39">
        <v>2.0710919272941952E+17</v>
      </c>
      <c r="H39">
        <v>1.083996363052507E+17</v>
      </c>
      <c r="AA39" s="1">
        <v>36929</v>
      </c>
      <c r="AB39">
        <v>38</v>
      </c>
    </row>
    <row r="40" spans="1:28" x14ac:dyDescent="0.35">
      <c r="AA40" s="1">
        <v>36930</v>
      </c>
      <c r="AB40">
        <v>39</v>
      </c>
    </row>
    <row r="41" spans="1:28" x14ac:dyDescent="0.35">
      <c r="C41">
        <f>C35-E35</f>
        <v>5431073.1912001539</v>
      </c>
      <c r="D41">
        <f>E35-D35</f>
        <v>5431073.1912001539</v>
      </c>
      <c r="F41">
        <f>F35-H35</f>
        <v>-5.58348557274164E+16</v>
      </c>
      <c r="G41">
        <f>H35-G35</f>
        <v>-5.5834855727416408E+16</v>
      </c>
      <c r="AA41" s="1">
        <v>36931</v>
      </c>
      <c r="AB41">
        <v>40</v>
      </c>
    </row>
    <row r="42" spans="1:28" x14ac:dyDescent="0.35">
      <c r="AA42" s="1">
        <v>36932</v>
      </c>
      <c r="AB42">
        <v>41</v>
      </c>
    </row>
    <row r="43" spans="1:28" x14ac:dyDescent="0.35">
      <c r="AA43" s="1">
        <v>36933</v>
      </c>
      <c r="AB43">
        <v>42</v>
      </c>
    </row>
    <row r="44" spans="1:28" x14ac:dyDescent="0.35">
      <c r="AA44" s="1">
        <v>36934</v>
      </c>
      <c r="AB44">
        <v>43</v>
      </c>
    </row>
    <row r="45" spans="1:28" x14ac:dyDescent="0.35">
      <c r="AA45" s="1">
        <v>36935</v>
      </c>
      <c r="AB45">
        <v>44</v>
      </c>
    </row>
    <row r="46" spans="1:28" x14ac:dyDescent="0.35">
      <c r="AA46" s="1">
        <v>36936</v>
      </c>
      <c r="AB46">
        <v>45</v>
      </c>
    </row>
    <row r="47" spans="1:28" x14ac:dyDescent="0.35">
      <c r="AA47" s="1">
        <v>36937</v>
      </c>
      <c r="AB47">
        <v>46</v>
      </c>
    </row>
    <row r="48" spans="1:28" x14ac:dyDescent="0.35">
      <c r="AA48" s="1">
        <v>36938</v>
      </c>
      <c r="AB48">
        <v>47</v>
      </c>
    </row>
    <row r="49" spans="27:28" x14ac:dyDescent="0.35">
      <c r="AA49" s="1">
        <v>36939</v>
      </c>
      <c r="AB49">
        <v>48</v>
      </c>
    </row>
    <row r="50" spans="27:28" x14ac:dyDescent="0.35">
      <c r="AA50" s="1">
        <v>36940</v>
      </c>
      <c r="AB50">
        <v>49</v>
      </c>
    </row>
    <row r="51" spans="27:28" x14ac:dyDescent="0.35">
      <c r="AA51" s="1">
        <v>36941</v>
      </c>
      <c r="AB51">
        <v>50</v>
      </c>
    </row>
    <row r="52" spans="27:28" x14ac:dyDescent="0.35">
      <c r="AA52" s="1">
        <v>36942</v>
      </c>
      <c r="AB52">
        <v>51</v>
      </c>
    </row>
    <row r="53" spans="27:28" x14ac:dyDescent="0.35">
      <c r="AA53" s="1">
        <v>36943</v>
      </c>
      <c r="AB53">
        <v>52</v>
      </c>
    </row>
    <row r="54" spans="27:28" x14ac:dyDescent="0.35">
      <c r="AA54" s="1">
        <v>36944</v>
      </c>
      <c r="AB54">
        <v>53</v>
      </c>
    </row>
    <row r="55" spans="27:28" x14ac:dyDescent="0.35">
      <c r="AA55" s="1">
        <v>36945</v>
      </c>
      <c r="AB55">
        <v>54</v>
      </c>
    </row>
    <row r="56" spans="27:28" x14ac:dyDescent="0.35">
      <c r="AA56" s="1">
        <v>36946</v>
      </c>
      <c r="AB56">
        <v>55</v>
      </c>
    </row>
    <row r="57" spans="27:28" x14ac:dyDescent="0.35">
      <c r="AA57" s="1">
        <v>36947</v>
      </c>
      <c r="AB57">
        <v>56</v>
      </c>
    </row>
    <row r="58" spans="27:28" x14ac:dyDescent="0.35">
      <c r="AA58" s="1">
        <v>36948</v>
      </c>
      <c r="AB58">
        <v>57</v>
      </c>
    </row>
    <row r="59" spans="27:28" x14ac:dyDescent="0.35">
      <c r="AA59" s="1">
        <v>36949</v>
      </c>
      <c r="AB59">
        <v>58</v>
      </c>
    </row>
    <row r="60" spans="27:28" x14ac:dyDescent="0.35">
      <c r="AA60" s="1">
        <v>36950</v>
      </c>
      <c r="AB60">
        <v>59</v>
      </c>
    </row>
    <row r="61" spans="27:28" x14ac:dyDescent="0.35">
      <c r="AA61" s="1">
        <v>36951</v>
      </c>
      <c r="AB61">
        <v>60</v>
      </c>
    </row>
    <row r="62" spans="27:28" x14ac:dyDescent="0.35">
      <c r="AA62" s="1">
        <v>36952</v>
      </c>
      <c r="AB62">
        <v>61</v>
      </c>
    </row>
    <row r="63" spans="27:28" x14ac:dyDescent="0.35">
      <c r="AA63" s="1">
        <v>36953</v>
      </c>
      <c r="AB63">
        <v>62</v>
      </c>
    </row>
    <row r="64" spans="27:28" x14ac:dyDescent="0.35">
      <c r="AA64" s="1">
        <v>36954</v>
      </c>
      <c r="AB64">
        <v>63</v>
      </c>
    </row>
    <row r="65" spans="27:28" x14ac:dyDescent="0.35">
      <c r="AA65" s="1">
        <v>36955</v>
      </c>
      <c r="AB65">
        <v>64</v>
      </c>
    </row>
    <row r="66" spans="27:28" x14ac:dyDescent="0.35">
      <c r="AA66" s="1">
        <v>36956</v>
      </c>
      <c r="AB66">
        <v>65</v>
      </c>
    </row>
    <row r="67" spans="27:28" x14ac:dyDescent="0.35">
      <c r="AA67" s="1">
        <v>36957</v>
      </c>
      <c r="AB67">
        <v>66</v>
      </c>
    </row>
    <row r="68" spans="27:28" x14ac:dyDescent="0.35">
      <c r="AA68" s="1">
        <v>36958</v>
      </c>
      <c r="AB68">
        <v>67</v>
      </c>
    </row>
    <row r="69" spans="27:28" x14ac:dyDescent="0.35">
      <c r="AA69" s="1">
        <v>36959</v>
      </c>
      <c r="AB69">
        <v>68</v>
      </c>
    </row>
    <row r="70" spans="27:28" x14ac:dyDescent="0.35">
      <c r="AA70" s="1">
        <v>36960</v>
      </c>
      <c r="AB70">
        <v>69</v>
      </c>
    </row>
    <row r="71" spans="27:28" x14ac:dyDescent="0.35">
      <c r="AA71" s="1">
        <v>36961</v>
      </c>
      <c r="AB71">
        <v>70</v>
      </c>
    </row>
    <row r="72" spans="27:28" x14ac:dyDescent="0.35">
      <c r="AA72" s="1">
        <v>36962</v>
      </c>
      <c r="AB72">
        <v>71</v>
      </c>
    </row>
    <row r="73" spans="27:28" x14ac:dyDescent="0.35">
      <c r="AA73" s="1">
        <v>36963</v>
      </c>
      <c r="AB73">
        <v>72</v>
      </c>
    </row>
    <row r="74" spans="27:28" x14ac:dyDescent="0.35">
      <c r="AA74" s="1">
        <v>36964</v>
      </c>
      <c r="AB74">
        <v>73</v>
      </c>
    </row>
    <row r="75" spans="27:28" x14ac:dyDescent="0.35">
      <c r="AA75" s="1">
        <v>36965</v>
      </c>
      <c r="AB75">
        <v>74</v>
      </c>
    </row>
    <row r="76" spans="27:28" x14ac:dyDescent="0.35">
      <c r="AA76" s="1">
        <v>36966</v>
      </c>
      <c r="AB76">
        <v>75</v>
      </c>
    </row>
    <row r="77" spans="27:28" x14ac:dyDescent="0.35">
      <c r="AA77" s="1">
        <v>36967</v>
      </c>
      <c r="AB77">
        <v>76</v>
      </c>
    </row>
    <row r="78" spans="27:28" x14ac:dyDescent="0.35">
      <c r="AA78" s="1">
        <v>36968</v>
      </c>
      <c r="AB78">
        <v>77</v>
      </c>
    </row>
    <row r="79" spans="27:28" x14ac:dyDescent="0.35">
      <c r="AA79" s="1">
        <v>36969</v>
      </c>
      <c r="AB79">
        <v>78</v>
      </c>
    </row>
    <row r="80" spans="27:28" x14ac:dyDescent="0.35">
      <c r="AA80" s="1">
        <v>36970</v>
      </c>
      <c r="AB80">
        <v>79</v>
      </c>
    </row>
    <row r="81" spans="27:28" x14ac:dyDescent="0.35">
      <c r="AA81" s="1">
        <v>36971</v>
      </c>
      <c r="AB81">
        <v>80</v>
      </c>
    </row>
    <row r="82" spans="27:28" x14ac:dyDescent="0.35">
      <c r="AA82" s="1">
        <v>36972</v>
      </c>
      <c r="AB82">
        <v>81</v>
      </c>
    </row>
    <row r="83" spans="27:28" x14ac:dyDescent="0.35">
      <c r="AA83" s="1">
        <v>36973</v>
      </c>
      <c r="AB83">
        <v>82</v>
      </c>
    </row>
    <row r="84" spans="27:28" x14ac:dyDescent="0.35">
      <c r="AA84" s="1">
        <v>36974</v>
      </c>
      <c r="AB84">
        <v>83</v>
      </c>
    </row>
    <row r="85" spans="27:28" x14ac:dyDescent="0.35">
      <c r="AA85" s="1">
        <v>36975</v>
      </c>
      <c r="AB85">
        <v>84</v>
      </c>
    </row>
    <row r="86" spans="27:28" x14ac:dyDescent="0.35">
      <c r="AA86" s="1">
        <v>36976</v>
      </c>
      <c r="AB86">
        <v>85</v>
      </c>
    </row>
    <row r="87" spans="27:28" x14ac:dyDescent="0.35">
      <c r="AA87" s="1">
        <v>36977</v>
      </c>
      <c r="AB87">
        <v>86</v>
      </c>
    </row>
    <row r="88" spans="27:28" x14ac:dyDescent="0.35">
      <c r="AA88" s="1">
        <v>36978</v>
      </c>
      <c r="AB88">
        <v>87</v>
      </c>
    </row>
    <row r="89" spans="27:28" x14ac:dyDescent="0.35">
      <c r="AA89" s="1">
        <v>36979</v>
      </c>
      <c r="AB89">
        <v>88</v>
      </c>
    </row>
    <row r="90" spans="27:28" x14ac:dyDescent="0.35">
      <c r="AA90" s="1">
        <v>36980</v>
      </c>
      <c r="AB90">
        <v>89</v>
      </c>
    </row>
    <row r="91" spans="27:28" x14ac:dyDescent="0.35">
      <c r="AA91" s="1">
        <v>36981</v>
      </c>
      <c r="AB91">
        <v>90</v>
      </c>
    </row>
    <row r="92" spans="27:28" x14ac:dyDescent="0.35">
      <c r="AA92" s="1">
        <v>36982</v>
      </c>
      <c r="AB92">
        <v>91</v>
      </c>
    </row>
    <row r="93" spans="27:28" x14ac:dyDescent="0.35">
      <c r="AA93" s="1">
        <v>36983</v>
      </c>
      <c r="AB93">
        <v>92</v>
      </c>
    </row>
    <row r="94" spans="27:28" x14ac:dyDescent="0.35">
      <c r="AA94" s="1">
        <v>36984</v>
      </c>
      <c r="AB94">
        <v>93</v>
      </c>
    </row>
    <row r="95" spans="27:28" x14ac:dyDescent="0.35">
      <c r="AA95" s="1">
        <v>36985</v>
      </c>
      <c r="AB95">
        <v>94</v>
      </c>
    </row>
    <row r="96" spans="27:28" x14ac:dyDescent="0.35">
      <c r="AA96" s="1">
        <v>36986</v>
      </c>
      <c r="AB96">
        <v>95</v>
      </c>
    </row>
    <row r="97" spans="27:28" x14ac:dyDescent="0.35">
      <c r="AA97" s="1">
        <v>36987</v>
      </c>
      <c r="AB97">
        <v>96</v>
      </c>
    </row>
    <row r="98" spans="27:28" x14ac:dyDescent="0.35">
      <c r="AA98" s="1">
        <v>36988</v>
      </c>
      <c r="AB98">
        <v>97</v>
      </c>
    </row>
    <row r="99" spans="27:28" x14ac:dyDescent="0.35">
      <c r="AA99" s="1">
        <v>36989</v>
      </c>
      <c r="AB99">
        <v>98</v>
      </c>
    </row>
    <row r="100" spans="27:28" x14ac:dyDescent="0.35">
      <c r="AA100" s="1">
        <v>36990</v>
      </c>
      <c r="AB100">
        <v>99</v>
      </c>
    </row>
    <row r="101" spans="27:28" x14ac:dyDescent="0.35">
      <c r="AA101" s="1">
        <v>36991</v>
      </c>
      <c r="AB101">
        <v>100</v>
      </c>
    </row>
    <row r="102" spans="27:28" x14ac:dyDescent="0.35">
      <c r="AA102" s="1">
        <v>36992</v>
      </c>
      <c r="AB102">
        <v>101</v>
      </c>
    </row>
    <row r="103" spans="27:28" x14ac:dyDescent="0.35">
      <c r="AA103" s="1">
        <v>36993</v>
      </c>
      <c r="AB103">
        <v>102</v>
      </c>
    </row>
    <row r="104" spans="27:28" x14ac:dyDescent="0.35">
      <c r="AA104" s="1">
        <v>36994</v>
      </c>
      <c r="AB104">
        <v>103</v>
      </c>
    </row>
    <row r="105" spans="27:28" x14ac:dyDescent="0.35">
      <c r="AA105" s="1">
        <v>36995</v>
      </c>
      <c r="AB105">
        <v>104</v>
      </c>
    </row>
    <row r="106" spans="27:28" x14ac:dyDescent="0.35">
      <c r="AA106" s="1">
        <v>36996</v>
      </c>
      <c r="AB106">
        <v>105</v>
      </c>
    </row>
    <row r="107" spans="27:28" x14ac:dyDescent="0.35">
      <c r="AA107" s="1">
        <v>36997</v>
      </c>
      <c r="AB107">
        <v>106</v>
      </c>
    </row>
    <row r="108" spans="27:28" x14ac:dyDescent="0.35">
      <c r="AA108" s="1">
        <v>36998</v>
      </c>
      <c r="AB108">
        <v>107</v>
      </c>
    </row>
    <row r="109" spans="27:28" x14ac:dyDescent="0.35">
      <c r="AA109" s="1">
        <v>36999</v>
      </c>
      <c r="AB109">
        <v>108</v>
      </c>
    </row>
    <row r="110" spans="27:28" x14ac:dyDescent="0.35">
      <c r="AA110" s="1">
        <v>37000</v>
      </c>
      <c r="AB110">
        <v>109</v>
      </c>
    </row>
    <row r="111" spans="27:28" x14ac:dyDescent="0.35">
      <c r="AA111" s="1">
        <v>37001</v>
      </c>
      <c r="AB111">
        <v>110</v>
      </c>
    </row>
    <row r="112" spans="27:28" x14ac:dyDescent="0.35">
      <c r="AA112" s="1">
        <v>37002</v>
      </c>
      <c r="AB112">
        <v>111</v>
      </c>
    </row>
    <row r="113" spans="27:28" x14ac:dyDescent="0.35">
      <c r="AA113" s="1">
        <v>37003</v>
      </c>
      <c r="AB113">
        <v>112</v>
      </c>
    </row>
    <row r="114" spans="27:28" x14ac:dyDescent="0.35">
      <c r="AA114" s="1">
        <v>37004</v>
      </c>
      <c r="AB114">
        <v>113</v>
      </c>
    </row>
    <row r="115" spans="27:28" x14ac:dyDescent="0.35">
      <c r="AA115" s="1">
        <v>37005</v>
      </c>
      <c r="AB115">
        <v>114</v>
      </c>
    </row>
    <row r="116" spans="27:28" x14ac:dyDescent="0.35">
      <c r="AA116" s="1">
        <v>37006</v>
      </c>
      <c r="AB116">
        <v>115</v>
      </c>
    </row>
    <row r="117" spans="27:28" x14ac:dyDescent="0.35">
      <c r="AA117" s="1">
        <v>37007</v>
      </c>
      <c r="AB117">
        <v>116</v>
      </c>
    </row>
    <row r="118" spans="27:28" x14ac:dyDescent="0.35">
      <c r="AA118" s="1">
        <v>37008</v>
      </c>
      <c r="AB118">
        <v>117</v>
      </c>
    </row>
    <row r="119" spans="27:28" x14ac:dyDescent="0.35">
      <c r="AA119" s="1">
        <v>37009</v>
      </c>
      <c r="AB119">
        <v>118</v>
      </c>
    </row>
    <row r="120" spans="27:28" x14ac:dyDescent="0.35">
      <c r="AA120" s="1">
        <v>37010</v>
      </c>
      <c r="AB120">
        <v>119</v>
      </c>
    </row>
    <row r="121" spans="27:28" x14ac:dyDescent="0.35">
      <c r="AA121" s="1">
        <v>37011</v>
      </c>
      <c r="AB121">
        <v>120</v>
      </c>
    </row>
    <row r="122" spans="27:28" x14ac:dyDescent="0.35">
      <c r="AA122" s="1">
        <v>37012</v>
      </c>
      <c r="AB122">
        <v>121</v>
      </c>
    </row>
    <row r="123" spans="27:28" x14ac:dyDescent="0.35">
      <c r="AA123" s="1">
        <v>37013</v>
      </c>
      <c r="AB123">
        <v>122</v>
      </c>
    </row>
    <row r="124" spans="27:28" x14ac:dyDescent="0.35">
      <c r="AA124" s="1">
        <v>37014</v>
      </c>
      <c r="AB124">
        <v>123</v>
      </c>
    </row>
    <row r="125" spans="27:28" x14ac:dyDescent="0.35">
      <c r="AA125" s="1">
        <v>37015</v>
      </c>
      <c r="AB125">
        <v>124</v>
      </c>
    </row>
    <row r="126" spans="27:28" x14ac:dyDescent="0.35">
      <c r="AA126" s="1">
        <v>37016</v>
      </c>
      <c r="AB126">
        <v>125</v>
      </c>
    </row>
    <row r="127" spans="27:28" x14ac:dyDescent="0.35">
      <c r="AA127" s="1">
        <v>37017</v>
      </c>
      <c r="AB127">
        <v>126</v>
      </c>
    </row>
    <row r="128" spans="27:28" x14ac:dyDescent="0.35">
      <c r="AA128" s="1">
        <v>37018</v>
      </c>
      <c r="AB128">
        <v>127</v>
      </c>
    </row>
    <row r="129" spans="27:28" x14ac:dyDescent="0.35">
      <c r="AA129" s="1">
        <v>37019</v>
      </c>
      <c r="AB129">
        <v>128</v>
      </c>
    </row>
    <row r="130" spans="27:28" x14ac:dyDescent="0.35">
      <c r="AA130" s="1">
        <v>37020</v>
      </c>
      <c r="AB130">
        <v>129</v>
      </c>
    </row>
    <row r="131" spans="27:28" x14ac:dyDescent="0.35">
      <c r="AA131" s="1">
        <v>37021</v>
      </c>
      <c r="AB131">
        <v>130</v>
      </c>
    </row>
    <row r="132" spans="27:28" x14ac:dyDescent="0.35">
      <c r="AA132" s="1">
        <v>37022</v>
      </c>
      <c r="AB132">
        <v>131</v>
      </c>
    </row>
    <row r="133" spans="27:28" x14ac:dyDescent="0.35">
      <c r="AA133" s="1">
        <v>37023</v>
      </c>
      <c r="AB133">
        <v>132</v>
      </c>
    </row>
    <row r="134" spans="27:28" x14ac:dyDescent="0.35">
      <c r="AA134" s="1">
        <v>37024</v>
      </c>
      <c r="AB134">
        <v>133</v>
      </c>
    </row>
    <row r="135" spans="27:28" x14ac:dyDescent="0.35">
      <c r="AA135" s="1">
        <v>37025</v>
      </c>
      <c r="AB135">
        <v>134</v>
      </c>
    </row>
    <row r="136" spans="27:28" x14ac:dyDescent="0.35">
      <c r="AA136" s="1">
        <v>37026</v>
      </c>
      <c r="AB136">
        <v>135</v>
      </c>
    </row>
    <row r="137" spans="27:28" x14ac:dyDescent="0.35">
      <c r="AA137" s="1">
        <v>37027</v>
      </c>
      <c r="AB137">
        <v>136</v>
      </c>
    </row>
    <row r="138" spans="27:28" x14ac:dyDescent="0.35">
      <c r="AA138" s="1">
        <v>37028</v>
      </c>
      <c r="AB138">
        <v>137</v>
      </c>
    </row>
    <row r="139" spans="27:28" x14ac:dyDescent="0.35">
      <c r="AA139" s="1">
        <v>37029</v>
      </c>
      <c r="AB139">
        <v>138</v>
      </c>
    </row>
    <row r="140" spans="27:28" x14ac:dyDescent="0.35">
      <c r="AA140" s="1">
        <v>37030</v>
      </c>
      <c r="AB140">
        <v>139</v>
      </c>
    </row>
    <row r="141" spans="27:28" x14ac:dyDescent="0.35">
      <c r="AA141" s="1">
        <v>37031</v>
      </c>
      <c r="AB141">
        <v>140</v>
      </c>
    </row>
    <row r="142" spans="27:28" x14ac:dyDescent="0.35">
      <c r="AA142" s="1">
        <v>37032</v>
      </c>
      <c r="AB142">
        <v>141</v>
      </c>
    </row>
    <row r="143" spans="27:28" x14ac:dyDescent="0.35">
      <c r="AA143" s="1">
        <v>37033</v>
      </c>
      <c r="AB143">
        <v>142</v>
      </c>
    </row>
    <row r="144" spans="27:28" x14ac:dyDescent="0.35">
      <c r="AA144" s="1">
        <v>37034</v>
      </c>
      <c r="AB144">
        <v>143</v>
      </c>
    </row>
    <row r="145" spans="27:28" x14ac:dyDescent="0.35">
      <c r="AA145" s="1">
        <v>37035</v>
      </c>
      <c r="AB145">
        <v>144</v>
      </c>
    </row>
    <row r="146" spans="27:28" x14ac:dyDescent="0.35">
      <c r="AA146" s="1">
        <v>37036</v>
      </c>
      <c r="AB146">
        <v>145</v>
      </c>
    </row>
    <row r="147" spans="27:28" x14ac:dyDescent="0.35">
      <c r="AA147" s="1">
        <v>37037</v>
      </c>
      <c r="AB147">
        <v>146</v>
      </c>
    </row>
    <row r="148" spans="27:28" x14ac:dyDescent="0.35">
      <c r="AA148" s="1">
        <v>37038</v>
      </c>
      <c r="AB148">
        <v>147</v>
      </c>
    </row>
    <row r="149" spans="27:28" x14ac:dyDescent="0.35">
      <c r="AA149" s="1">
        <v>37039</v>
      </c>
      <c r="AB149">
        <v>148</v>
      </c>
    </row>
    <row r="150" spans="27:28" x14ac:dyDescent="0.35">
      <c r="AA150" s="1">
        <v>37040</v>
      </c>
      <c r="AB150">
        <v>149</v>
      </c>
    </row>
    <row r="151" spans="27:28" x14ac:dyDescent="0.35">
      <c r="AA151" s="1">
        <v>37041</v>
      </c>
      <c r="AB151">
        <v>150</v>
      </c>
    </row>
    <row r="152" spans="27:28" x14ac:dyDescent="0.35">
      <c r="AA152" s="1">
        <v>37042</v>
      </c>
      <c r="AB152">
        <v>151</v>
      </c>
    </row>
    <row r="153" spans="27:28" x14ac:dyDescent="0.35">
      <c r="AA153" s="1">
        <v>37043</v>
      </c>
      <c r="AB153">
        <v>152</v>
      </c>
    </row>
    <row r="154" spans="27:28" x14ac:dyDescent="0.35">
      <c r="AA154" s="1">
        <v>37044</v>
      </c>
      <c r="AB154">
        <v>153</v>
      </c>
    </row>
    <row r="155" spans="27:28" x14ac:dyDescent="0.35">
      <c r="AA155" s="1">
        <v>37045</v>
      </c>
      <c r="AB155">
        <v>154</v>
      </c>
    </row>
    <row r="156" spans="27:28" x14ac:dyDescent="0.35">
      <c r="AA156" s="1">
        <v>37046</v>
      </c>
      <c r="AB156">
        <v>155</v>
      </c>
    </row>
    <row r="157" spans="27:28" x14ac:dyDescent="0.35">
      <c r="AA157" s="1">
        <v>37047</v>
      </c>
      <c r="AB157">
        <v>156</v>
      </c>
    </row>
    <row r="158" spans="27:28" x14ac:dyDescent="0.35">
      <c r="AA158" s="1">
        <v>37048</v>
      </c>
      <c r="AB158">
        <v>157</v>
      </c>
    </row>
    <row r="159" spans="27:28" x14ac:dyDescent="0.35">
      <c r="AA159" s="1">
        <v>37049</v>
      </c>
      <c r="AB159">
        <v>158</v>
      </c>
    </row>
    <row r="160" spans="27:28" x14ac:dyDescent="0.35">
      <c r="AA160" s="1">
        <v>37050</v>
      </c>
      <c r="AB160">
        <v>159</v>
      </c>
    </row>
    <row r="161" spans="27:28" x14ac:dyDescent="0.35">
      <c r="AA161" s="1">
        <v>37051</v>
      </c>
      <c r="AB161">
        <v>160</v>
      </c>
    </row>
    <row r="162" spans="27:28" x14ac:dyDescent="0.35">
      <c r="AA162" s="1">
        <v>37052</v>
      </c>
      <c r="AB162">
        <v>161</v>
      </c>
    </row>
    <row r="163" spans="27:28" x14ac:dyDescent="0.35">
      <c r="AA163" s="1">
        <v>37053</v>
      </c>
      <c r="AB163">
        <v>162</v>
      </c>
    </row>
    <row r="164" spans="27:28" x14ac:dyDescent="0.35">
      <c r="AA164" s="1">
        <v>37054</v>
      </c>
      <c r="AB164">
        <v>163</v>
      </c>
    </row>
    <row r="165" spans="27:28" x14ac:dyDescent="0.35">
      <c r="AA165" s="1">
        <v>37055</v>
      </c>
      <c r="AB165">
        <v>164</v>
      </c>
    </row>
    <row r="166" spans="27:28" x14ac:dyDescent="0.35">
      <c r="AA166" s="1">
        <v>37056</v>
      </c>
      <c r="AB166">
        <v>165</v>
      </c>
    </row>
    <row r="167" spans="27:28" x14ac:dyDescent="0.35">
      <c r="AA167" s="1">
        <v>37057</v>
      </c>
      <c r="AB167">
        <v>166</v>
      </c>
    </row>
    <row r="168" spans="27:28" x14ac:dyDescent="0.35">
      <c r="AA168" s="1">
        <v>37058</v>
      </c>
      <c r="AB168">
        <v>167</v>
      </c>
    </row>
    <row r="169" spans="27:28" x14ac:dyDescent="0.35">
      <c r="AA169" s="1">
        <v>37059</v>
      </c>
      <c r="AB169">
        <v>168</v>
      </c>
    </row>
    <row r="170" spans="27:28" x14ac:dyDescent="0.35">
      <c r="AA170" s="1">
        <v>37060</v>
      </c>
      <c r="AB170">
        <v>169</v>
      </c>
    </row>
    <row r="171" spans="27:28" x14ac:dyDescent="0.35">
      <c r="AA171" s="1">
        <v>37061</v>
      </c>
      <c r="AB171">
        <v>170</v>
      </c>
    </row>
    <row r="172" spans="27:28" x14ac:dyDescent="0.35">
      <c r="AA172" s="1">
        <v>37062</v>
      </c>
      <c r="AB172">
        <v>171</v>
      </c>
    </row>
    <row r="173" spans="27:28" x14ac:dyDescent="0.35">
      <c r="AA173" s="1">
        <v>37063</v>
      </c>
      <c r="AB173">
        <v>172</v>
      </c>
    </row>
    <row r="174" spans="27:28" x14ac:dyDescent="0.35">
      <c r="AA174" s="1">
        <v>37064</v>
      </c>
      <c r="AB174">
        <v>173</v>
      </c>
    </row>
    <row r="175" spans="27:28" x14ac:dyDescent="0.35">
      <c r="AA175" s="1">
        <v>37065</v>
      </c>
      <c r="AB175">
        <v>174</v>
      </c>
    </row>
    <row r="176" spans="27:28" x14ac:dyDescent="0.35">
      <c r="AA176" s="1">
        <v>37066</v>
      </c>
      <c r="AB176">
        <v>175</v>
      </c>
    </row>
    <row r="177" spans="27:28" x14ac:dyDescent="0.35">
      <c r="AA177" s="1">
        <v>37067</v>
      </c>
      <c r="AB177">
        <v>176</v>
      </c>
    </row>
    <row r="178" spans="27:28" x14ac:dyDescent="0.35">
      <c r="AA178" s="1">
        <v>37068</v>
      </c>
      <c r="AB178">
        <v>177</v>
      </c>
    </row>
    <row r="179" spans="27:28" x14ac:dyDescent="0.35">
      <c r="AA179" s="1">
        <v>37069</v>
      </c>
      <c r="AB179">
        <v>178</v>
      </c>
    </row>
    <row r="180" spans="27:28" x14ac:dyDescent="0.35">
      <c r="AA180" s="1">
        <v>37070</v>
      </c>
      <c r="AB180">
        <v>179</v>
      </c>
    </row>
    <row r="181" spans="27:28" x14ac:dyDescent="0.35">
      <c r="AA181" s="1">
        <v>37071</v>
      </c>
      <c r="AB181">
        <v>180</v>
      </c>
    </row>
    <row r="182" spans="27:28" x14ac:dyDescent="0.35">
      <c r="AA182" s="1">
        <v>37072</v>
      </c>
      <c r="AB182">
        <v>181</v>
      </c>
    </row>
    <row r="183" spans="27:28" x14ac:dyDescent="0.35">
      <c r="AA183" s="1">
        <v>37073</v>
      </c>
      <c r="AB183">
        <v>182</v>
      </c>
    </row>
    <row r="184" spans="27:28" x14ac:dyDescent="0.35">
      <c r="AA184" s="1">
        <v>37074</v>
      </c>
      <c r="AB184">
        <v>183</v>
      </c>
    </row>
    <row r="185" spans="27:28" x14ac:dyDescent="0.35">
      <c r="AA185" s="1">
        <v>37075</v>
      </c>
      <c r="AB185">
        <v>184</v>
      </c>
    </row>
    <row r="186" spans="27:28" x14ac:dyDescent="0.35">
      <c r="AA186" s="1">
        <v>37076</v>
      </c>
      <c r="AB186">
        <v>185</v>
      </c>
    </row>
    <row r="187" spans="27:28" x14ac:dyDescent="0.35">
      <c r="AA187" s="1">
        <v>37077</v>
      </c>
      <c r="AB187">
        <v>186</v>
      </c>
    </row>
    <row r="188" spans="27:28" x14ac:dyDescent="0.35">
      <c r="AA188" s="1">
        <v>37078</v>
      </c>
      <c r="AB188">
        <v>187</v>
      </c>
    </row>
    <row r="189" spans="27:28" x14ac:dyDescent="0.35">
      <c r="AA189" s="1">
        <v>37079</v>
      </c>
      <c r="AB189">
        <v>188</v>
      </c>
    </row>
    <row r="190" spans="27:28" x14ac:dyDescent="0.35">
      <c r="AA190" s="1">
        <v>37080</v>
      </c>
      <c r="AB190">
        <v>189</v>
      </c>
    </row>
    <row r="191" spans="27:28" x14ac:dyDescent="0.35">
      <c r="AA191" s="1">
        <v>37081</v>
      </c>
      <c r="AB191">
        <v>190</v>
      </c>
    </row>
    <row r="192" spans="27:28" x14ac:dyDescent="0.35">
      <c r="AA192" s="1">
        <v>37082</v>
      </c>
      <c r="AB192">
        <v>191</v>
      </c>
    </row>
    <row r="193" spans="27:28" x14ac:dyDescent="0.35">
      <c r="AA193" s="1">
        <v>37083</v>
      </c>
      <c r="AB193">
        <v>192</v>
      </c>
    </row>
    <row r="194" spans="27:28" x14ac:dyDescent="0.35">
      <c r="AA194" s="1">
        <v>37084</v>
      </c>
      <c r="AB194">
        <v>193</v>
      </c>
    </row>
    <row r="195" spans="27:28" x14ac:dyDescent="0.35">
      <c r="AA195" s="1">
        <v>37085</v>
      </c>
      <c r="AB195">
        <v>194</v>
      </c>
    </row>
    <row r="196" spans="27:28" x14ac:dyDescent="0.35">
      <c r="AA196" s="1">
        <v>37086</v>
      </c>
      <c r="AB196">
        <v>195</v>
      </c>
    </row>
    <row r="197" spans="27:28" x14ac:dyDescent="0.35">
      <c r="AA197" s="1">
        <v>37087</v>
      </c>
      <c r="AB197">
        <v>196</v>
      </c>
    </row>
    <row r="198" spans="27:28" x14ac:dyDescent="0.35">
      <c r="AA198" s="1">
        <v>37088</v>
      </c>
      <c r="AB198">
        <v>197</v>
      </c>
    </row>
    <row r="199" spans="27:28" x14ac:dyDescent="0.35">
      <c r="AA199" s="1">
        <v>37089</v>
      </c>
      <c r="AB199">
        <v>198</v>
      </c>
    </row>
    <row r="200" spans="27:28" x14ac:dyDescent="0.35">
      <c r="AA200" s="1">
        <v>37090</v>
      </c>
      <c r="AB200">
        <v>199</v>
      </c>
    </row>
    <row r="201" spans="27:28" x14ac:dyDescent="0.35">
      <c r="AA201" s="1">
        <v>37091</v>
      </c>
      <c r="AB201">
        <v>200</v>
      </c>
    </row>
    <row r="202" spans="27:28" x14ac:dyDescent="0.35">
      <c r="AA202" s="1">
        <v>37092</v>
      </c>
      <c r="AB202">
        <v>201</v>
      </c>
    </row>
    <row r="203" spans="27:28" x14ac:dyDescent="0.35">
      <c r="AA203" s="1">
        <v>37093</v>
      </c>
      <c r="AB203">
        <v>202</v>
      </c>
    </row>
    <row r="204" spans="27:28" x14ac:dyDescent="0.35">
      <c r="AA204" s="1">
        <v>37094</v>
      </c>
      <c r="AB204">
        <v>203</v>
      </c>
    </row>
    <row r="205" spans="27:28" x14ac:dyDescent="0.35">
      <c r="AA205" s="1">
        <v>37095</v>
      </c>
      <c r="AB205">
        <v>204</v>
      </c>
    </row>
    <row r="206" spans="27:28" x14ac:dyDescent="0.35">
      <c r="AA206" s="1">
        <v>37096</v>
      </c>
      <c r="AB206">
        <v>205</v>
      </c>
    </row>
    <row r="207" spans="27:28" x14ac:dyDescent="0.35">
      <c r="AA207" s="1">
        <v>37097</v>
      </c>
      <c r="AB207">
        <v>206</v>
      </c>
    </row>
    <row r="208" spans="27:28" x14ac:dyDescent="0.35">
      <c r="AA208" s="1">
        <v>37098</v>
      </c>
      <c r="AB208">
        <v>207</v>
      </c>
    </row>
    <row r="209" spans="27:28" x14ac:dyDescent="0.35">
      <c r="AA209" s="1">
        <v>37099</v>
      </c>
      <c r="AB209">
        <v>208</v>
      </c>
    </row>
    <row r="210" spans="27:28" x14ac:dyDescent="0.35">
      <c r="AA210" s="1">
        <v>37100</v>
      </c>
      <c r="AB210">
        <v>209</v>
      </c>
    </row>
    <row r="211" spans="27:28" x14ac:dyDescent="0.35">
      <c r="AA211" s="1">
        <v>37101</v>
      </c>
      <c r="AB211">
        <v>210</v>
      </c>
    </row>
    <row r="212" spans="27:28" x14ac:dyDescent="0.35">
      <c r="AA212" s="1">
        <v>37102</v>
      </c>
      <c r="AB212">
        <v>211</v>
      </c>
    </row>
    <row r="213" spans="27:28" x14ac:dyDescent="0.35">
      <c r="AA213" s="1">
        <v>37103</v>
      </c>
      <c r="AB213">
        <v>212</v>
      </c>
    </row>
    <row r="214" spans="27:28" x14ac:dyDescent="0.35">
      <c r="AA214" s="1">
        <v>37104</v>
      </c>
      <c r="AB214">
        <v>213</v>
      </c>
    </row>
    <row r="215" spans="27:28" x14ac:dyDescent="0.35">
      <c r="AA215" s="1">
        <v>37105</v>
      </c>
      <c r="AB215">
        <v>214</v>
      </c>
    </row>
    <row r="216" spans="27:28" x14ac:dyDescent="0.35">
      <c r="AA216" s="1">
        <v>37106</v>
      </c>
      <c r="AB216">
        <v>215</v>
      </c>
    </row>
    <row r="217" spans="27:28" x14ac:dyDescent="0.35">
      <c r="AA217" s="1">
        <v>37107</v>
      </c>
      <c r="AB217">
        <v>216</v>
      </c>
    </row>
    <row r="218" spans="27:28" x14ac:dyDescent="0.35">
      <c r="AA218" s="1">
        <v>37108</v>
      </c>
      <c r="AB218">
        <v>217</v>
      </c>
    </row>
    <row r="219" spans="27:28" x14ac:dyDescent="0.35">
      <c r="AA219" s="1">
        <v>37109</v>
      </c>
      <c r="AB219">
        <v>218</v>
      </c>
    </row>
    <row r="220" spans="27:28" x14ac:dyDescent="0.35">
      <c r="AA220" s="1">
        <v>37110</v>
      </c>
      <c r="AB220">
        <v>219</v>
      </c>
    </row>
    <row r="221" spans="27:28" x14ac:dyDescent="0.35">
      <c r="AA221" s="1">
        <v>37111</v>
      </c>
      <c r="AB221">
        <v>220</v>
      </c>
    </row>
    <row r="222" spans="27:28" x14ac:dyDescent="0.35">
      <c r="AA222" s="1">
        <v>37112</v>
      </c>
      <c r="AB222">
        <v>221</v>
      </c>
    </row>
    <row r="223" spans="27:28" x14ac:dyDescent="0.35">
      <c r="AA223" s="1">
        <v>37113</v>
      </c>
      <c r="AB223">
        <v>222</v>
      </c>
    </row>
    <row r="224" spans="27:28" x14ac:dyDescent="0.35">
      <c r="AA224" s="1">
        <v>37114</v>
      </c>
      <c r="AB224">
        <v>223</v>
      </c>
    </row>
    <row r="225" spans="27:28" x14ac:dyDescent="0.35">
      <c r="AA225" s="1">
        <v>37115</v>
      </c>
      <c r="AB225">
        <v>224</v>
      </c>
    </row>
    <row r="226" spans="27:28" x14ac:dyDescent="0.35">
      <c r="AA226" s="1">
        <v>37116</v>
      </c>
      <c r="AB226">
        <v>225</v>
      </c>
    </row>
    <row r="227" spans="27:28" x14ac:dyDescent="0.35">
      <c r="AA227" s="1">
        <v>37117</v>
      </c>
      <c r="AB227">
        <v>226</v>
      </c>
    </row>
    <row r="228" spans="27:28" x14ac:dyDescent="0.35">
      <c r="AA228" s="1">
        <v>37118</v>
      </c>
      <c r="AB228">
        <v>227</v>
      </c>
    </row>
    <row r="229" spans="27:28" x14ac:dyDescent="0.35">
      <c r="AA229" s="1">
        <v>37119</v>
      </c>
      <c r="AB229">
        <v>228</v>
      </c>
    </row>
    <row r="230" spans="27:28" x14ac:dyDescent="0.35">
      <c r="AA230" s="1">
        <v>37120</v>
      </c>
      <c r="AB230">
        <v>229</v>
      </c>
    </row>
    <row r="231" spans="27:28" x14ac:dyDescent="0.35">
      <c r="AA231" s="1">
        <v>37121</v>
      </c>
      <c r="AB231">
        <v>230</v>
      </c>
    </row>
    <row r="232" spans="27:28" x14ac:dyDescent="0.35">
      <c r="AA232" s="1">
        <v>37122</v>
      </c>
      <c r="AB232">
        <v>231</v>
      </c>
    </row>
    <row r="233" spans="27:28" x14ac:dyDescent="0.35">
      <c r="AA233" s="1">
        <v>37123</v>
      </c>
      <c r="AB233">
        <v>232</v>
      </c>
    </row>
    <row r="234" spans="27:28" x14ac:dyDescent="0.35">
      <c r="AA234" s="1">
        <v>37124</v>
      </c>
      <c r="AB234">
        <v>233</v>
      </c>
    </row>
    <row r="235" spans="27:28" x14ac:dyDescent="0.35">
      <c r="AA235" s="1">
        <v>37125</v>
      </c>
      <c r="AB235">
        <v>234</v>
      </c>
    </row>
    <row r="236" spans="27:28" x14ac:dyDescent="0.35">
      <c r="AA236" s="1">
        <v>37126</v>
      </c>
      <c r="AB236">
        <v>235</v>
      </c>
    </row>
    <row r="237" spans="27:28" x14ac:dyDescent="0.35">
      <c r="AA237" s="1">
        <v>37127</v>
      </c>
      <c r="AB237">
        <v>236</v>
      </c>
    </row>
    <row r="238" spans="27:28" x14ac:dyDescent="0.35">
      <c r="AA238" s="1">
        <v>37128</v>
      </c>
      <c r="AB238">
        <v>237</v>
      </c>
    </row>
    <row r="239" spans="27:28" x14ac:dyDescent="0.35">
      <c r="AA239" s="1">
        <v>37129</v>
      </c>
      <c r="AB239">
        <v>238</v>
      </c>
    </row>
    <row r="240" spans="27:28" x14ac:dyDescent="0.35">
      <c r="AA240" s="1">
        <v>37130</v>
      </c>
      <c r="AB240">
        <v>239</v>
      </c>
    </row>
    <row r="241" spans="27:28" x14ac:dyDescent="0.35">
      <c r="AA241" s="1">
        <v>37131</v>
      </c>
      <c r="AB241">
        <v>240</v>
      </c>
    </row>
    <row r="242" spans="27:28" x14ac:dyDescent="0.35">
      <c r="AA242" s="1">
        <v>37132</v>
      </c>
      <c r="AB242">
        <v>241</v>
      </c>
    </row>
    <row r="243" spans="27:28" x14ac:dyDescent="0.35">
      <c r="AA243" s="1">
        <v>37133</v>
      </c>
      <c r="AB243">
        <v>242</v>
      </c>
    </row>
    <row r="244" spans="27:28" x14ac:dyDescent="0.35">
      <c r="AA244" s="1">
        <v>37134</v>
      </c>
      <c r="AB244">
        <v>243</v>
      </c>
    </row>
    <row r="245" spans="27:28" x14ac:dyDescent="0.35">
      <c r="AA245" s="1">
        <v>37135</v>
      </c>
      <c r="AB245">
        <v>244</v>
      </c>
    </row>
    <row r="246" spans="27:28" x14ac:dyDescent="0.35">
      <c r="AA246" s="1">
        <v>37136</v>
      </c>
      <c r="AB246">
        <v>245</v>
      </c>
    </row>
    <row r="247" spans="27:28" x14ac:dyDescent="0.35">
      <c r="AA247" s="1">
        <v>37137</v>
      </c>
      <c r="AB247">
        <v>246</v>
      </c>
    </row>
    <row r="248" spans="27:28" x14ac:dyDescent="0.35">
      <c r="AA248" s="1">
        <v>37138</v>
      </c>
      <c r="AB248">
        <v>247</v>
      </c>
    </row>
    <row r="249" spans="27:28" x14ac:dyDescent="0.35">
      <c r="AA249" s="1">
        <v>37139</v>
      </c>
      <c r="AB249">
        <v>248</v>
      </c>
    </row>
    <row r="250" spans="27:28" x14ac:dyDescent="0.35">
      <c r="AA250" s="1">
        <v>37140</v>
      </c>
      <c r="AB250">
        <v>249</v>
      </c>
    </row>
    <row r="251" spans="27:28" x14ac:dyDescent="0.35">
      <c r="AA251" s="1">
        <v>37141</v>
      </c>
      <c r="AB251">
        <v>250</v>
      </c>
    </row>
    <row r="252" spans="27:28" x14ac:dyDescent="0.35">
      <c r="AA252" s="1">
        <v>37142</v>
      </c>
      <c r="AB252">
        <v>251</v>
      </c>
    </row>
    <row r="253" spans="27:28" x14ac:dyDescent="0.35">
      <c r="AA253" s="1">
        <v>37143</v>
      </c>
      <c r="AB253">
        <v>252</v>
      </c>
    </row>
    <row r="254" spans="27:28" x14ac:dyDescent="0.35">
      <c r="AA254" s="1">
        <v>37144</v>
      </c>
      <c r="AB254">
        <v>253</v>
      </c>
    </row>
    <row r="255" spans="27:28" x14ac:dyDescent="0.35">
      <c r="AA255" s="1">
        <v>37145</v>
      </c>
      <c r="AB255">
        <v>254</v>
      </c>
    </row>
    <row r="256" spans="27:28" x14ac:dyDescent="0.35">
      <c r="AA256" s="1">
        <v>37146</v>
      </c>
      <c r="AB256">
        <v>255</v>
      </c>
    </row>
    <row r="257" spans="27:28" x14ac:dyDescent="0.35">
      <c r="AA257" s="1">
        <v>37147</v>
      </c>
      <c r="AB257">
        <v>256</v>
      </c>
    </row>
    <row r="258" spans="27:28" x14ac:dyDescent="0.35">
      <c r="AA258" s="1">
        <v>37148</v>
      </c>
      <c r="AB258">
        <v>257</v>
      </c>
    </row>
    <row r="259" spans="27:28" x14ac:dyDescent="0.35">
      <c r="AA259" s="1">
        <v>37149</v>
      </c>
      <c r="AB259">
        <v>258</v>
      </c>
    </row>
    <row r="260" spans="27:28" x14ac:dyDescent="0.35">
      <c r="AA260" s="1">
        <v>37150</v>
      </c>
      <c r="AB260">
        <v>259</v>
      </c>
    </row>
    <row r="261" spans="27:28" x14ac:dyDescent="0.35">
      <c r="AA261" s="1">
        <v>37151</v>
      </c>
      <c r="AB261">
        <v>260</v>
      </c>
    </row>
    <row r="262" spans="27:28" x14ac:dyDescent="0.35">
      <c r="AA262" s="1">
        <v>37152</v>
      </c>
      <c r="AB262">
        <v>261</v>
      </c>
    </row>
    <row r="263" spans="27:28" x14ac:dyDescent="0.35">
      <c r="AA263" s="1">
        <v>37153</v>
      </c>
      <c r="AB263">
        <v>262</v>
      </c>
    </row>
    <row r="264" spans="27:28" x14ac:dyDescent="0.35">
      <c r="AA264" s="1">
        <v>37154</v>
      </c>
      <c r="AB264">
        <v>263</v>
      </c>
    </row>
    <row r="265" spans="27:28" x14ac:dyDescent="0.35">
      <c r="AA265" s="1">
        <v>37155</v>
      </c>
      <c r="AB265">
        <v>264</v>
      </c>
    </row>
    <row r="266" spans="27:28" x14ac:dyDescent="0.35">
      <c r="AA266" s="1">
        <v>37156</v>
      </c>
      <c r="AB266">
        <v>265</v>
      </c>
    </row>
    <row r="267" spans="27:28" x14ac:dyDescent="0.35">
      <c r="AA267" s="1">
        <v>37157</v>
      </c>
      <c r="AB267">
        <v>266</v>
      </c>
    </row>
    <row r="268" spans="27:28" x14ac:dyDescent="0.35">
      <c r="AA268" s="1">
        <v>37158</v>
      </c>
      <c r="AB268">
        <v>267</v>
      </c>
    </row>
    <row r="269" spans="27:28" x14ac:dyDescent="0.35">
      <c r="AA269" s="1">
        <v>37159</v>
      </c>
      <c r="AB269">
        <v>268</v>
      </c>
    </row>
    <row r="270" spans="27:28" x14ac:dyDescent="0.35">
      <c r="AA270" s="1">
        <v>37160</v>
      </c>
      <c r="AB270">
        <v>269</v>
      </c>
    </row>
    <row r="271" spans="27:28" x14ac:dyDescent="0.35">
      <c r="AA271" s="1">
        <v>37161</v>
      </c>
      <c r="AB271">
        <v>270</v>
      </c>
    </row>
    <row r="272" spans="27:28" x14ac:dyDescent="0.35">
      <c r="AA272" s="1">
        <v>37162</v>
      </c>
      <c r="AB272">
        <v>271</v>
      </c>
    </row>
    <row r="273" spans="27:28" x14ac:dyDescent="0.35">
      <c r="AA273" s="1">
        <v>37163</v>
      </c>
      <c r="AB273">
        <v>272</v>
      </c>
    </row>
    <row r="274" spans="27:28" x14ac:dyDescent="0.35">
      <c r="AA274" s="1">
        <v>37164</v>
      </c>
      <c r="AB274">
        <v>273</v>
      </c>
    </row>
    <row r="275" spans="27:28" x14ac:dyDescent="0.35">
      <c r="AA275" s="1">
        <v>37165</v>
      </c>
      <c r="AB275">
        <v>274</v>
      </c>
    </row>
    <row r="276" spans="27:28" x14ac:dyDescent="0.35">
      <c r="AA276" s="1">
        <v>37166</v>
      </c>
      <c r="AB276">
        <v>275</v>
      </c>
    </row>
    <row r="277" spans="27:28" x14ac:dyDescent="0.35">
      <c r="AA277" s="1">
        <v>37167</v>
      </c>
      <c r="AB277">
        <v>276</v>
      </c>
    </row>
    <row r="278" spans="27:28" x14ac:dyDescent="0.35">
      <c r="AA278" s="1">
        <v>37168</v>
      </c>
      <c r="AB278">
        <v>277</v>
      </c>
    </row>
    <row r="279" spans="27:28" x14ac:dyDescent="0.35">
      <c r="AA279" s="1">
        <v>37169</v>
      </c>
      <c r="AB279">
        <v>278</v>
      </c>
    </row>
    <row r="280" spans="27:28" x14ac:dyDescent="0.35">
      <c r="AA280" s="1">
        <v>37170</v>
      </c>
      <c r="AB280">
        <v>279</v>
      </c>
    </row>
    <row r="281" spans="27:28" x14ac:dyDescent="0.35">
      <c r="AA281" s="1">
        <v>37171</v>
      </c>
      <c r="AB281">
        <v>280</v>
      </c>
    </row>
    <row r="282" spans="27:28" x14ac:dyDescent="0.35">
      <c r="AA282" s="1">
        <v>37172</v>
      </c>
      <c r="AB282">
        <v>281</v>
      </c>
    </row>
    <row r="283" spans="27:28" x14ac:dyDescent="0.35">
      <c r="AA283" s="1">
        <v>37173</v>
      </c>
      <c r="AB283">
        <v>282</v>
      </c>
    </row>
    <row r="284" spans="27:28" x14ac:dyDescent="0.35">
      <c r="AA284" s="1">
        <v>37174</v>
      </c>
      <c r="AB284">
        <v>283</v>
      </c>
    </row>
    <row r="285" spans="27:28" x14ac:dyDescent="0.35">
      <c r="AA285" s="1">
        <v>37175</v>
      </c>
      <c r="AB285">
        <v>284</v>
      </c>
    </row>
    <row r="286" spans="27:28" x14ac:dyDescent="0.35">
      <c r="AA286" s="1">
        <v>37176</v>
      </c>
      <c r="AB286">
        <v>285</v>
      </c>
    </row>
    <row r="287" spans="27:28" x14ac:dyDescent="0.35">
      <c r="AA287" s="1">
        <v>37177</v>
      </c>
      <c r="AB287">
        <v>286</v>
      </c>
    </row>
    <row r="288" spans="27:28" x14ac:dyDescent="0.35">
      <c r="AA288" s="1">
        <v>37178</v>
      </c>
      <c r="AB288">
        <v>287</v>
      </c>
    </row>
    <row r="289" spans="27:28" x14ac:dyDescent="0.35">
      <c r="AA289" s="1">
        <v>37179</v>
      </c>
      <c r="AB289">
        <v>288</v>
      </c>
    </row>
    <row r="290" spans="27:28" x14ac:dyDescent="0.35">
      <c r="AA290" s="1">
        <v>37180</v>
      </c>
      <c r="AB290">
        <v>289</v>
      </c>
    </row>
    <row r="291" spans="27:28" x14ac:dyDescent="0.35">
      <c r="AA291" s="1">
        <v>37181</v>
      </c>
      <c r="AB291">
        <v>290</v>
      </c>
    </row>
    <row r="292" spans="27:28" x14ac:dyDescent="0.35">
      <c r="AA292" s="1">
        <v>37182</v>
      </c>
      <c r="AB292">
        <v>291</v>
      </c>
    </row>
    <row r="293" spans="27:28" x14ac:dyDescent="0.35">
      <c r="AA293" s="1">
        <v>37183</v>
      </c>
      <c r="AB293">
        <v>292</v>
      </c>
    </row>
    <row r="294" spans="27:28" x14ac:dyDescent="0.35">
      <c r="AA294" s="1">
        <v>37184</v>
      </c>
      <c r="AB294">
        <v>293</v>
      </c>
    </row>
    <row r="295" spans="27:28" x14ac:dyDescent="0.35">
      <c r="AA295" s="1">
        <v>37185</v>
      </c>
      <c r="AB295">
        <v>294</v>
      </c>
    </row>
    <row r="296" spans="27:28" x14ac:dyDescent="0.35">
      <c r="AA296" s="1">
        <v>37186</v>
      </c>
      <c r="AB296">
        <v>295</v>
      </c>
    </row>
    <row r="297" spans="27:28" x14ac:dyDescent="0.35">
      <c r="AA297" s="1">
        <v>37187</v>
      </c>
      <c r="AB297">
        <v>296</v>
      </c>
    </row>
    <row r="298" spans="27:28" x14ac:dyDescent="0.35">
      <c r="AA298" s="1">
        <v>37188</v>
      </c>
      <c r="AB298">
        <v>297</v>
      </c>
    </row>
    <row r="299" spans="27:28" x14ac:dyDescent="0.35">
      <c r="AA299" s="1">
        <v>37189</v>
      </c>
      <c r="AB299">
        <v>298</v>
      </c>
    </row>
    <row r="300" spans="27:28" x14ac:dyDescent="0.35">
      <c r="AA300" s="1">
        <v>37190</v>
      </c>
      <c r="AB300">
        <v>299</v>
      </c>
    </row>
    <row r="301" spans="27:28" x14ac:dyDescent="0.35">
      <c r="AA301" s="1">
        <v>37191</v>
      </c>
      <c r="AB301">
        <v>300</v>
      </c>
    </row>
    <row r="302" spans="27:28" x14ac:dyDescent="0.35">
      <c r="AA302" s="1">
        <v>37192</v>
      </c>
      <c r="AB302">
        <v>301</v>
      </c>
    </row>
    <row r="303" spans="27:28" x14ac:dyDescent="0.35">
      <c r="AA303" s="1">
        <v>37193</v>
      </c>
      <c r="AB303">
        <v>302</v>
      </c>
    </row>
    <row r="304" spans="27:28" x14ac:dyDescent="0.35">
      <c r="AA304" s="1">
        <v>37194</v>
      </c>
      <c r="AB304">
        <v>303</v>
      </c>
    </row>
    <row r="305" spans="27:28" x14ac:dyDescent="0.35">
      <c r="AA305" s="1">
        <v>37195</v>
      </c>
      <c r="AB305">
        <v>304</v>
      </c>
    </row>
    <row r="306" spans="27:28" x14ac:dyDescent="0.35">
      <c r="AA306" s="1">
        <v>37196</v>
      </c>
      <c r="AB306">
        <v>305</v>
      </c>
    </row>
    <row r="307" spans="27:28" x14ac:dyDescent="0.35">
      <c r="AA307" s="1">
        <v>37197</v>
      </c>
      <c r="AB307">
        <v>306</v>
      </c>
    </row>
    <row r="308" spans="27:28" x14ac:dyDescent="0.35">
      <c r="AA308" s="1">
        <v>37198</v>
      </c>
      <c r="AB308">
        <v>307</v>
      </c>
    </row>
    <row r="309" spans="27:28" x14ac:dyDescent="0.35">
      <c r="AA309" s="1">
        <v>37199</v>
      </c>
      <c r="AB309">
        <v>308</v>
      </c>
    </row>
    <row r="310" spans="27:28" x14ac:dyDescent="0.35">
      <c r="AA310" s="1">
        <v>37200</v>
      </c>
      <c r="AB310">
        <v>309</v>
      </c>
    </row>
    <row r="311" spans="27:28" x14ac:dyDescent="0.35">
      <c r="AA311" s="1">
        <v>37201</v>
      </c>
      <c r="AB311">
        <v>310</v>
      </c>
    </row>
    <row r="312" spans="27:28" x14ac:dyDescent="0.35">
      <c r="AA312" s="1">
        <v>37202</v>
      </c>
      <c r="AB312">
        <v>311</v>
      </c>
    </row>
    <row r="313" spans="27:28" x14ac:dyDescent="0.35">
      <c r="AA313" s="1">
        <v>37203</v>
      </c>
      <c r="AB313">
        <v>312</v>
      </c>
    </row>
    <row r="314" spans="27:28" x14ac:dyDescent="0.35">
      <c r="AA314" s="1">
        <v>37204</v>
      </c>
      <c r="AB314">
        <v>313</v>
      </c>
    </row>
    <row r="315" spans="27:28" x14ac:dyDescent="0.35">
      <c r="AA315" s="1">
        <v>37205</v>
      </c>
      <c r="AB315">
        <v>314</v>
      </c>
    </row>
    <row r="316" spans="27:28" x14ac:dyDescent="0.35">
      <c r="AA316" s="1">
        <v>37206</v>
      </c>
      <c r="AB316">
        <v>315</v>
      </c>
    </row>
    <row r="317" spans="27:28" x14ac:dyDescent="0.35">
      <c r="AA317" s="1">
        <v>37207</v>
      </c>
      <c r="AB317">
        <v>316</v>
      </c>
    </row>
    <row r="318" spans="27:28" x14ac:dyDescent="0.35">
      <c r="AA318" s="1">
        <v>37208</v>
      </c>
      <c r="AB318">
        <v>317</v>
      </c>
    </row>
    <row r="319" spans="27:28" x14ac:dyDescent="0.35">
      <c r="AA319" s="1">
        <v>37209</v>
      </c>
      <c r="AB319">
        <v>318</v>
      </c>
    </row>
    <row r="320" spans="27:28" x14ac:dyDescent="0.35">
      <c r="AA320" s="1">
        <v>37210</v>
      </c>
      <c r="AB320">
        <v>319</v>
      </c>
    </row>
    <row r="321" spans="27:28" x14ac:dyDescent="0.35">
      <c r="AA321" s="1">
        <v>37211</v>
      </c>
      <c r="AB321">
        <v>320</v>
      </c>
    </row>
    <row r="322" spans="27:28" x14ac:dyDescent="0.35">
      <c r="AA322" s="1">
        <v>37212</v>
      </c>
      <c r="AB322">
        <v>321</v>
      </c>
    </row>
    <row r="323" spans="27:28" x14ac:dyDescent="0.35">
      <c r="AA323" s="1">
        <v>37213</v>
      </c>
      <c r="AB323">
        <v>322</v>
      </c>
    </row>
    <row r="324" spans="27:28" x14ac:dyDescent="0.35">
      <c r="AA324" s="1">
        <v>37214</v>
      </c>
      <c r="AB324">
        <v>323</v>
      </c>
    </row>
    <row r="325" spans="27:28" x14ac:dyDescent="0.35">
      <c r="AA325" s="1">
        <v>37215</v>
      </c>
      <c r="AB325">
        <v>324</v>
      </c>
    </row>
    <row r="326" spans="27:28" x14ac:dyDescent="0.35">
      <c r="AA326" s="1">
        <v>37216</v>
      </c>
      <c r="AB326">
        <v>325</v>
      </c>
    </row>
    <row r="327" spans="27:28" x14ac:dyDescent="0.35">
      <c r="AA327" s="1">
        <v>37217</v>
      </c>
      <c r="AB327">
        <v>326</v>
      </c>
    </row>
    <row r="328" spans="27:28" x14ac:dyDescent="0.35">
      <c r="AA328" s="1">
        <v>37218</v>
      </c>
      <c r="AB328">
        <v>327</v>
      </c>
    </row>
    <row r="329" spans="27:28" x14ac:dyDescent="0.35">
      <c r="AA329" s="1">
        <v>37219</v>
      </c>
      <c r="AB329">
        <v>328</v>
      </c>
    </row>
    <row r="330" spans="27:28" x14ac:dyDescent="0.35">
      <c r="AA330" s="1">
        <v>37220</v>
      </c>
      <c r="AB330">
        <v>329</v>
      </c>
    </row>
    <row r="331" spans="27:28" x14ac:dyDescent="0.35">
      <c r="AA331" s="1">
        <v>37221</v>
      </c>
      <c r="AB331">
        <v>330</v>
      </c>
    </row>
    <row r="332" spans="27:28" x14ac:dyDescent="0.35">
      <c r="AA332" s="1">
        <v>37222</v>
      </c>
      <c r="AB332">
        <v>331</v>
      </c>
    </row>
    <row r="333" spans="27:28" x14ac:dyDescent="0.35">
      <c r="AA333" s="1">
        <v>37223</v>
      </c>
      <c r="AB333">
        <v>332</v>
      </c>
    </row>
    <row r="334" spans="27:28" x14ac:dyDescent="0.35">
      <c r="AA334" s="1">
        <v>37224</v>
      </c>
      <c r="AB334">
        <v>333</v>
      </c>
    </row>
    <row r="335" spans="27:28" x14ac:dyDescent="0.35">
      <c r="AA335" s="1">
        <v>37225</v>
      </c>
      <c r="AB335">
        <v>334</v>
      </c>
    </row>
    <row r="336" spans="27:28" x14ac:dyDescent="0.35">
      <c r="AA336" s="1">
        <v>37226</v>
      </c>
      <c r="AB336">
        <v>335</v>
      </c>
    </row>
    <row r="337" spans="27:28" x14ac:dyDescent="0.35">
      <c r="AA337" s="1">
        <v>37227</v>
      </c>
      <c r="AB337">
        <v>336</v>
      </c>
    </row>
    <row r="338" spans="27:28" x14ac:dyDescent="0.35">
      <c r="AA338" s="1">
        <v>37228</v>
      </c>
      <c r="AB338">
        <v>337</v>
      </c>
    </row>
    <row r="339" spans="27:28" x14ac:dyDescent="0.35">
      <c r="AA339" s="1">
        <v>37229</v>
      </c>
      <c r="AB339">
        <v>338</v>
      </c>
    </row>
    <row r="340" spans="27:28" x14ac:dyDescent="0.35">
      <c r="AA340" s="1">
        <v>37230</v>
      </c>
      <c r="AB340">
        <v>339</v>
      </c>
    </row>
    <row r="341" spans="27:28" x14ac:dyDescent="0.35">
      <c r="AA341" s="1">
        <v>37231</v>
      </c>
      <c r="AB341">
        <v>340</v>
      </c>
    </row>
    <row r="342" spans="27:28" x14ac:dyDescent="0.35">
      <c r="AA342" s="1">
        <v>37232</v>
      </c>
      <c r="AB342">
        <v>341</v>
      </c>
    </row>
    <row r="343" spans="27:28" x14ac:dyDescent="0.35">
      <c r="AA343" s="1">
        <v>37233</v>
      </c>
      <c r="AB343">
        <v>342</v>
      </c>
    </row>
    <row r="344" spans="27:28" x14ac:dyDescent="0.35">
      <c r="AA344" s="1">
        <v>37234</v>
      </c>
      <c r="AB344">
        <v>343</v>
      </c>
    </row>
    <row r="345" spans="27:28" x14ac:dyDescent="0.35">
      <c r="AA345" s="1">
        <v>37235</v>
      </c>
      <c r="AB345">
        <v>344</v>
      </c>
    </row>
    <row r="346" spans="27:28" x14ac:dyDescent="0.35">
      <c r="AA346" s="1">
        <v>37236</v>
      </c>
      <c r="AB346">
        <v>345</v>
      </c>
    </row>
    <row r="347" spans="27:28" x14ac:dyDescent="0.35">
      <c r="AA347" s="1">
        <v>37237</v>
      </c>
      <c r="AB347">
        <v>346</v>
      </c>
    </row>
    <row r="348" spans="27:28" x14ac:dyDescent="0.35">
      <c r="AA348" s="1">
        <v>37238</v>
      </c>
      <c r="AB348">
        <v>347</v>
      </c>
    </row>
    <row r="349" spans="27:28" x14ac:dyDescent="0.35">
      <c r="AA349" s="1">
        <v>37239</v>
      </c>
      <c r="AB349">
        <v>348</v>
      </c>
    </row>
    <row r="350" spans="27:28" x14ac:dyDescent="0.35">
      <c r="AA350" s="1">
        <v>37240</v>
      </c>
      <c r="AB350">
        <v>349</v>
      </c>
    </row>
    <row r="351" spans="27:28" x14ac:dyDescent="0.35">
      <c r="AA351" s="1">
        <v>37241</v>
      </c>
      <c r="AB351">
        <v>350</v>
      </c>
    </row>
    <row r="352" spans="27:28" x14ac:dyDescent="0.35">
      <c r="AA352" s="1">
        <v>37242</v>
      </c>
      <c r="AB352">
        <v>351</v>
      </c>
    </row>
    <row r="353" spans="27:28" x14ac:dyDescent="0.35">
      <c r="AA353" s="1">
        <v>37243</v>
      </c>
      <c r="AB353">
        <v>352</v>
      </c>
    </row>
    <row r="354" spans="27:28" x14ac:dyDescent="0.35">
      <c r="AA354" s="1">
        <v>37244</v>
      </c>
      <c r="AB354">
        <v>353</v>
      </c>
    </row>
    <row r="355" spans="27:28" x14ac:dyDescent="0.35">
      <c r="AA355" s="1">
        <v>37245</v>
      </c>
      <c r="AB355">
        <v>354</v>
      </c>
    </row>
    <row r="356" spans="27:28" x14ac:dyDescent="0.35">
      <c r="AA356" s="1">
        <v>37246</v>
      </c>
      <c r="AB356">
        <v>355</v>
      </c>
    </row>
    <row r="357" spans="27:28" x14ac:dyDescent="0.35">
      <c r="AA357" s="1">
        <v>37247</v>
      </c>
      <c r="AB357">
        <v>356</v>
      </c>
    </row>
    <row r="358" spans="27:28" x14ac:dyDescent="0.35">
      <c r="AA358" s="1">
        <v>37248</v>
      </c>
      <c r="AB358">
        <v>357</v>
      </c>
    </row>
    <row r="359" spans="27:28" x14ac:dyDescent="0.35">
      <c r="AA359" s="1">
        <v>37249</v>
      </c>
      <c r="AB359">
        <v>358</v>
      </c>
    </row>
    <row r="360" spans="27:28" x14ac:dyDescent="0.35">
      <c r="AA360" s="1">
        <v>37250</v>
      </c>
      <c r="AB360">
        <v>359</v>
      </c>
    </row>
    <row r="361" spans="27:28" x14ac:dyDescent="0.35">
      <c r="AA361" s="1">
        <v>37251</v>
      </c>
      <c r="AB361">
        <v>360</v>
      </c>
    </row>
    <row r="362" spans="27:28" x14ac:dyDescent="0.35">
      <c r="AA362" s="1">
        <v>37252</v>
      </c>
      <c r="AB362">
        <v>361</v>
      </c>
    </row>
    <row r="363" spans="27:28" x14ac:dyDescent="0.35">
      <c r="AA363" s="1">
        <v>37253</v>
      </c>
      <c r="AB363">
        <v>362</v>
      </c>
    </row>
    <row r="364" spans="27:28" x14ac:dyDescent="0.35">
      <c r="AA364" s="1">
        <v>37254</v>
      </c>
      <c r="AB364">
        <v>363</v>
      </c>
    </row>
    <row r="365" spans="27:28" x14ac:dyDescent="0.35">
      <c r="AA365" s="1">
        <v>37255</v>
      </c>
      <c r="AB365">
        <v>364</v>
      </c>
    </row>
    <row r="366" spans="27:28" x14ac:dyDescent="0.35">
      <c r="AA366" s="1">
        <v>37256</v>
      </c>
      <c r="AB366">
        <v>365</v>
      </c>
    </row>
    <row r="367" spans="27:28" x14ac:dyDescent="0.35">
      <c r="AA367" s="1">
        <v>37257</v>
      </c>
      <c r="AB367">
        <v>366</v>
      </c>
    </row>
    <row r="368" spans="27:28" x14ac:dyDescent="0.35">
      <c r="AA368" s="1">
        <v>37258</v>
      </c>
      <c r="AB368">
        <v>367</v>
      </c>
    </row>
    <row r="369" spans="27:28" x14ac:dyDescent="0.35">
      <c r="AA369" s="1">
        <v>37259</v>
      </c>
      <c r="AB369">
        <v>368</v>
      </c>
    </row>
    <row r="370" spans="27:28" x14ac:dyDescent="0.35">
      <c r="AA370" s="1">
        <v>37260</v>
      </c>
      <c r="AB370">
        <v>369</v>
      </c>
    </row>
    <row r="371" spans="27:28" x14ac:dyDescent="0.35">
      <c r="AA371" s="1">
        <v>37261</v>
      </c>
      <c r="AB371">
        <v>370</v>
      </c>
    </row>
    <row r="372" spans="27:28" x14ac:dyDescent="0.35">
      <c r="AA372" s="1">
        <v>37262</v>
      </c>
      <c r="AB372">
        <v>371</v>
      </c>
    </row>
    <row r="373" spans="27:28" x14ac:dyDescent="0.35">
      <c r="AA373" s="1">
        <v>37263</v>
      </c>
      <c r="AB373">
        <v>372</v>
      </c>
    </row>
    <row r="374" spans="27:28" x14ac:dyDescent="0.35">
      <c r="AA374" s="1">
        <v>37264</v>
      </c>
      <c r="AB374">
        <v>373</v>
      </c>
    </row>
    <row r="375" spans="27:28" x14ac:dyDescent="0.35">
      <c r="AA375" s="1">
        <v>37265</v>
      </c>
      <c r="AB375">
        <v>374</v>
      </c>
    </row>
    <row r="376" spans="27:28" x14ac:dyDescent="0.35">
      <c r="AA376" s="1">
        <v>37266</v>
      </c>
      <c r="AB376">
        <v>375</v>
      </c>
    </row>
    <row r="377" spans="27:28" x14ac:dyDescent="0.35">
      <c r="AA377" s="1">
        <v>37267</v>
      </c>
      <c r="AB377">
        <v>376</v>
      </c>
    </row>
    <row r="378" spans="27:28" x14ac:dyDescent="0.35">
      <c r="AA378" s="1">
        <v>37268</v>
      </c>
      <c r="AB378">
        <v>377</v>
      </c>
    </row>
    <row r="379" spans="27:28" x14ac:dyDescent="0.35">
      <c r="AA379" s="1">
        <v>37269</v>
      </c>
      <c r="AB379">
        <v>378</v>
      </c>
    </row>
    <row r="380" spans="27:28" x14ac:dyDescent="0.35">
      <c r="AA380" s="1">
        <v>37270</v>
      </c>
      <c r="AB380">
        <v>379</v>
      </c>
    </row>
    <row r="381" spans="27:28" x14ac:dyDescent="0.35">
      <c r="AA381" s="1">
        <v>37271</v>
      </c>
      <c r="AB381">
        <v>380</v>
      </c>
    </row>
    <row r="382" spans="27:28" x14ac:dyDescent="0.35">
      <c r="AA382" s="1">
        <v>37272</v>
      </c>
      <c r="AB382">
        <v>381</v>
      </c>
    </row>
    <row r="383" spans="27:28" x14ac:dyDescent="0.35">
      <c r="AA383" s="1">
        <v>37273</v>
      </c>
      <c r="AB383">
        <v>382</v>
      </c>
    </row>
    <row r="384" spans="27:28" x14ac:dyDescent="0.35">
      <c r="AA384" s="1">
        <v>37274</v>
      </c>
      <c r="AB384">
        <v>383</v>
      </c>
    </row>
    <row r="385" spans="27:28" x14ac:dyDescent="0.35">
      <c r="AA385" s="1">
        <v>37275</v>
      </c>
      <c r="AB385">
        <v>384</v>
      </c>
    </row>
    <row r="386" spans="27:28" x14ac:dyDescent="0.35">
      <c r="AA386" s="1">
        <v>37276</v>
      </c>
      <c r="AB386">
        <v>385</v>
      </c>
    </row>
    <row r="387" spans="27:28" x14ac:dyDescent="0.35">
      <c r="AA387" s="1">
        <v>37277</v>
      </c>
      <c r="AB387">
        <v>386</v>
      </c>
    </row>
    <row r="388" spans="27:28" x14ac:dyDescent="0.35">
      <c r="AA388" s="1">
        <v>37278</v>
      </c>
      <c r="AB388">
        <v>387</v>
      </c>
    </row>
    <row r="389" spans="27:28" x14ac:dyDescent="0.35">
      <c r="AA389" s="1">
        <v>37279</v>
      </c>
      <c r="AB389">
        <v>388</v>
      </c>
    </row>
    <row r="390" spans="27:28" x14ac:dyDescent="0.35">
      <c r="AA390" s="1">
        <v>37280</v>
      </c>
      <c r="AB390">
        <v>389</v>
      </c>
    </row>
    <row r="391" spans="27:28" x14ac:dyDescent="0.35">
      <c r="AA391" s="1">
        <v>37281</v>
      </c>
      <c r="AB391">
        <v>390</v>
      </c>
    </row>
    <row r="392" spans="27:28" x14ac:dyDescent="0.35">
      <c r="AA392" s="1">
        <v>37282</v>
      </c>
      <c r="AB392">
        <v>391</v>
      </c>
    </row>
    <row r="393" spans="27:28" x14ac:dyDescent="0.35">
      <c r="AA393" s="1">
        <v>37283</v>
      </c>
      <c r="AB393">
        <v>392</v>
      </c>
    </row>
    <row r="394" spans="27:28" x14ac:dyDescent="0.35">
      <c r="AA394" s="1">
        <v>37284</v>
      </c>
      <c r="AB394">
        <v>393</v>
      </c>
    </row>
    <row r="395" spans="27:28" x14ac:dyDescent="0.35">
      <c r="AA395" s="1">
        <v>37285</v>
      </c>
      <c r="AB395">
        <v>394</v>
      </c>
    </row>
    <row r="396" spans="27:28" x14ac:dyDescent="0.35">
      <c r="AA396" s="1">
        <v>37286</v>
      </c>
      <c r="AB396">
        <v>395</v>
      </c>
    </row>
    <row r="397" spans="27:28" x14ac:dyDescent="0.35">
      <c r="AA397" s="1">
        <v>37287</v>
      </c>
      <c r="AB397">
        <v>396</v>
      </c>
    </row>
    <row r="398" spans="27:28" x14ac:dyDescent="0.35">
      <c r="AA398" s="1">
        <v>37288</v>
      </c>
      <c r="AB398">
        <v>397</v>
      </c>
    </row>
    <row r="399" spans="27:28" x14ac:dyDescent="0.35">
      <c r="AA399" s="1">
        <v>37289</v>
      </c>
      <c r="AB399">
        <v>398</v>
      </c>
    </row>
    <row r="400" spans="27:28" x14ac:dyDescent="0.35">
      <c r="AA400" s="1">
        <v>37290</v>
      </c>
      <c r="AB400">
        <v>399</v>
      </c>
    </row>
    <row r="401" spans="27:28" x14ac:dyDescent="0.35">
      <c r="AA401" s="1">
        <v>37291</v>
      </c>
      <c r="AB401">
        <v>400</v>
      </c>
    </row>
    <row r="402" spans="27:28" x14ac:dyDescent="0.35">
      <c r="AA402" s="1">
        <v>37292</v>
      </c>
      <c r="AB402">
        <v>401</v>
      </c>
    </row>
    <row r="403" spans="27:28" x14ac:dyDescent="0.35">
      <c r="AA403" s="1">
        <v>37293</v>
      </c>
      <c r="AB403">
        <v>402</v>
      </c>
    </row>
    <row r="404" spans="27:28" x14ac:dyDescent="0.35">
      <c r="AA404" s="1">
        <v>37294</v>
      </c>
      <c r="AB404">
        <v>403</v>
      </c>
    </row>
    <row r="405" spans="27:28" x14ac:dyDescent="0.35">
      <c r="AA405" s="1">
        <v>37295</v>
      </c>
      <c r="AB405">
        <v>404</v>
      </c>
    </row>
    <row r="406" spans="27:28" x14ac:dyDescent="0.35">
      <c r="AA406" s="1">
        <v>37296</v>
      </c>
      <c r="AB406">
        <v>405</v>
      </c>
    </row>
    <row r="407" spans="27:28" x14ac:dyDescent="0.35">
      <c r="AA407" s="1">
        <v>37297</v>
      </c>
      <c r="AB407">
        <v>406</v>
      </c>
    </row>
    <row r="408" spans="27:28" x14ac:dyDescent="0.35">
      <c r="AA408" s="1">
        <v>37298</v>
      </c>
      <c r="AB408">
        <v>407</v>
      </c>
    </row>
    <row r="409" spans="27:28" x14ac:dyDescent="0.35">
      <c r="AA409" s="1">
        <v>37299</v>
      </c>
      <c r="AB409">
        <v>408</v>
      </c>
    </row>
    <row r="410" spans="27:28" x14ac:dyDescent="0.35">
      <c r="AA410" s="1">
        <v>37300</v>
      </c>
      <c r="AB410">
        <v>409</v>
      </c>
    </row>
    <row r="411" spans="27:28" x14ac:dyDescent="0.35">
      <c r="AA411" s="1">
        <v>37301</v>
      </c>
      <c r="AB411">
        <v>410</v>
      </c>
    </row>
    <row r="412" spans="27:28" x14ac:dyDescent="0.35">
      <c r="AA412" s="1">
        <v>37302</v>
      </c>
      <c r="AB412">
        <v>411</v>
      </c>
    </row>
    <row r="413" spans="27:28" x14ac:dyDescent="0.35">
      <c r="AA413" s="1">
        <v>37303</v>
      </c>
      <c r="AB413">
        <v>412</v>
      </c>
    </row>
    <row r="414" spans="27:28" x14ac:dyDescent="0.35">
      <c r="AA414" s="1">
        <v>37304</v>
      </c>
      <c r="AB414">
        <v>413</v>
      </c>
    </row>
    <row r="415" spans="27:28" x14ac:dyDescent="0.35">
      <c r="AA415" s="1">
        <v>37305</v>
      </c>
      <c r="AB415">
        <v>414</v>
      </c>
    </row>
    <row r="416" spans="27:28" x14ac:dyDescent="0.35">
      <c r="AA416" s="1">
        <v>37306</v>
      </c>
      <c r="AB416">
        <v>415</v>
      </c>
    </row>
    <row r="417" spans="27:28" x14ac:dyDescent="0.35">
      <c r="AA417" s="1">
        <v>37307</v>
      </c>
      <c r="AB417">
        <v>416</v>
      </c>
    </row>
    <row r="418" spans="27:28" x14ac:dyDescent="0.35">
      <c r="AA418" s="1">
        <v>37308</v>
      </c>
      <c r="AB418">
        <v>417</v>
      </c>
    </row>
    <row r="419" spans="27:28" x14ac:dyDescent="0.35">
      <c r="AA419" s="1">
        <v>37309</v>
      </c>
      <c r="AB419">
        <v>418</v>
      </c>
    </row>
    <row r="420" spans="27:28" x14ac:dyDescent="0.35">
      <c r="AA420" s="1">
        <v>37310</v>
      </c>
      <c r="AB420">
        <v>419</v>
      </c>
    </row>
    <row r="421" spans="27:28" x14ac:dyDescent="0.35">
      <c r="AA421" s="1">
        <v>37311</v>
      </c>
      <c r="AB421">
        <v>420</v>
      </c>
    </row>
    <row r="422" spans="27:28" x14ac:dyDescent="0.35">
      <c r="AA422" s="1">
        <v>37312</v>
      </c>
      <c r="AB422">
        <v>421</v>
      </c>
    </row>
    <row r="423" spans="27:28" x14ac:dyDescent="0.35">
      <c r="AA423" s="1">
        <v>37313</v>
      </c>
      <c r="AB423">
        <v>422</v>
      </c>
    </row>
    <row r="424" spans="27:28" x14ac:dyDescent="0.35">
      <c r="AA424" s="1">
        <v>37314</v>
      </c>
      <c r="AB424">
        <v>423</v>
      </c>
    </row>
    <row r="425" spans="27:28" x14ac:dyDescent="0.35">
      <c r="AA425" s="1">
        <v>37315</v>
      </c>
      <c r="AB425">
        <v>424</v>
      </c>
    </row>
    <row r="426" spans="27:28" x14ac:dyDescent="0.35">
      <c r="AA426" s="1">
        <v>37316</v>
      </c>
      <c r="AB426">
        <v>425</v>
      </c>
    </row>
    <row r="427" spans="27:28" x14ac:dyDescent="0.35">
      <c r="AA427" s="1">
        <v>37317</v>
      </c>
      <c r="AB427">
        <v>426</v>
      </c>
    </row>
    <row r="428" spans="27:28" x14ac:dyDescent="0.35">
      <c r="AA428" s="1">
        <v>37318</v>
      </c>
      <c r="AB428">
        <v>427</v>
      </c>
    </row>
    <row r="429" spans="27:28" x14ac:dyDescent="0.35">
      <c r="AA429" s="1">
        <v>37319</v>
      </c>
      <c r="AB429">
        <v>428</v>
      </c>
    </row>
    <row r="430" spans="27:28" x14ac:dyDescent="0.35">
      <c r="AA430" s="1">
        <v>37320</v>
      </c>
      <c r="AB430">
        <v>429</v>
      </c>
    </row>
    <row r="431" spans="27:28" x14ac:dyDescent="0.35">
      <c r="AA431" s="1">
        <v>37321</v>
      </c>
      <c r="AB431">
        <v>430</v>
      </c>
    </row>
    <row r="432" spans="27:28" x14ac:dyDescent="0.35">
      <c r="AA432" s="1">
        <v>37322</v>
      </c>
      <c r="AB432">
        <v>431</v>
      </c>
    </row>
    <row r="433" spans="27:28" x14ac:dyDescent="0.35">
      <c r="AA433" s="1">
        <v>37323</v>
      </c>
      <c r="AB433">
        <v>432</v>
      </c>
    </row>
    <row r="434" spans="27:28" x14ac:dyDescent="0.35">
      <c r="AA434" s="1">
        <v>37324</v>
      </c>
      <c r="AB434">
        <v>433</v>
      </c>
    </row>
    <row r="435" spans="27:28" x14ac:dyDescent="0.35">
      <c r="AA435" s="1">
        <v>37325</v>
      </c>
      <c r="AB435">
        <v>434</v>
      </c>
    </row>
    <row r="436" spans="27:28" x14ac:dyDescent="0.35">
      <c r="AA436" s="1">
        <v>37326</v>
      </c>
      <c r="AB436">
        <v>435</v>
      </c>
    </row>
    <row r="437" spans="27:28" x14ac:dyDescent="0.35">
      <c r="AA437" s="1">
        <v>37327</v>
      </c>
      <c r="AB437">
        <v>436</v>
      </c>
    </row>
    <row r="438" spans="27:28" x14ac:dyDescent="0.35">
      <c r="AA438" s="1">
        <v>37328</v>
      </c>
      <c r="AB438">
        <v>437</v>
      </c>
    </row>
    <row r="439" spans="27:28" x14ac:dyDescent="0.35">
      <c r="AA439" s="1">
        <v>37329</v>
      </c>
      <c r="AB439">
        <v>438</v>
      </c>
    </row>
    <row r="440" spans="27:28" x14ac:dyDescent="0.35">
      <c r="AA440" s="1">
        <v>37330</v>
      </c>
      <c r="AB440">
        <v>439</v>
      </c>
    </row>
    <row r="441" spans="27:28" x14ac:dyDescent="0.35">
      <c r="AA441" s="1">
        <v>37331</v>
      </c>
      <c r="AB441">
        <v>440</v>
      </c>
    </row>
    <row r="442" spans="27:28" x14ac:dyDescent="0.35">
      <c r="AA442" s="1">
        <v>37332</v>
      </c>
      <c r="AB442">
        <v>441</v>
      </c>
    </row>
    <row r="443" spans="27:28" x14ac:dyDescent="0.35">
      <c r="AA443" s="1">
        <v>37333</v>
      </c>
      <c r="AB443">
        <v>442</v>
      </c>
    </row>
    <row r="444" spans="27:28" x14ac:dyDescent="0.35">
      <c r="AA444" s="1">
        <v>37334</v>
      </c>
      <c r="AB444">
        <v>443</v>
      </c>
    </row>
    <row r="445" spans="27:28" x14ac:dyDescent="0.35">
      <c r="AA445" s="1">
        <v>37335</v>
      </c>
      <c r="AB445">
        <v>444</v>
      </c>
    </row>
    <row r="446" spans="27:28" x14ac:dyDescent="0.35">
      <c r="AA446" s="1">
        <v>37336</v>
      </c>
      <c r="AB446">
        <v>445</v>
      </c>
    </row>
    <row r="447" spans="27:28" x14ac:dyDescent="0.35">
      <c r="AA447" s="1">
        <v>37337</v>
      </c>
      <c r="AB447">
        <v>446</v>
      </c>
    </row>
    <row r="448" spans="27:28" x14ac:dyDescent="0.35">
      <c r="AA448" s="1">
        <v>37338</v>
      </c>
      <c r="AB448">
        <v>447</v>
      </c>
    </row>
    <row r="449" spans="27:28" x14ac:dyDescent="0.35">
      <c r="AA449" s="1">
        <v>37339</v>
      </c>
      <c r="AB449">
        <v>448</v>
      </c>
    </row>
    <row r="450" spans="27:28" x14ac:dyDescent="0.35">
      <c r="AA450" s="1">
        <v>37340</v>
      </c>
      <c r="AB450">
        <v>449</v>
      </c>
    </row>
    <row r="451" spans="27:28" x14ac:dyDescent="0.35">
      <c r="AA451" s="1">
        <v>37341</v>
      </c>
      <c r="AB451">
        <v>450</v>
      </c>
    </row>
    <row r="452" spans="27:28" x14ac:dyDescent="0.35">
      <c r="AA452" s="1">
        <v>37342</v>
      </c>
      <c r="AB452">
        <v>451</v>
      </c>
    </row>
    <row r="453" spans="27:28" x14ac:dyDescent="0.35">
      <c r="AA453" s="1">
        <v>37343</v>
      </c>
      <c r="AB453">
        <v>452</v>
      </c>
    </row>
    <row r="454" spans="27:28" x14ac:dyDescent="0.35">
      <c r="AA454" s="1">
        <v>37344</v>
      </c>
      <c r="AB454">
        <v>453</v>
      </c>
    </row>
    <row r="455" spans="27:28" x14ac:dyDescent="0.35">
      <c r="AA455" s="1">
        <v>37345</v>
      </c>
      <c r="AB455">
        <v>454</v>
      </c>
    </row>
    <row r="456" spans="27:28" x14ac:dyDescent="0.35">
      <c r="AA456" s="1">
        <v>37346</v>
      </c>
      <c r="AB456">
        <v>455</v>
      </c>
    </row>
    <row r="457" spans="27:28" x14ac:dyDescent="0.35">
      <c r="AA457" s="1">
        <v>37347</v>
      </c>
      <c r="AB457">
        <v>456</v>
      </c>
    </row>
    <row r="458" spans="27:28" x14ac:dyDescent="0.35">
      <c r="AA458" s="1">
        <v>37348</v>
      </c>
      <c r="AB458">
        <v>457</v>
      </c>
    </row>
    <row r="459" spans="27:28" x14ac:dyDescent="0.35">
      <c r="AA459" s="1">
        <v>37349</v>
      </c>
      <c r="AB459">
        <v>458</v>
      </c>
    </row>
    <row r="460" spans="27:28" x14ac:dyDescent="0.35">
      <c r="AA460" s="1">
        <v>37350</v>
      </c>
      <c r="AB460">
        <v>459</v>
      </c>
    </row>
    <row r="461" spans="27:28" x14ac:dyDescent="0.35">
      <c r="AA461" s="1">
        <v>37351</v>
      </c>
      <c r="AB461">
        <v>460</v>
      </c>
    </row>
    <row r="462" spans="27:28" x14ac:dyDescent="0.35">
      <c r="AA462" s="1">
        <v>37352</v>
      </c>
      <c r="AB462">
        <v>461</v>
      </c>
    </row>
    <row r="463" spans="27:28" x14ac:dyDescent="0.35">
      <c r="AA463" s="1">
        <v>37353</v>
      </c>
      <c r="AB463">
        <v>462</v>
      </c>
    </row>
    <row r="464" spans="27:28" x14ac:dyDescent="0.35">
      <c r="AA464" s="1">
        <v>37354</v>
      </c>
      <c r="AB464">
        <v>463</v>
      </c>
    </row>
    <row r="465" spans="27:28" x14ac:dyDescent="0.35">
      <c r="AA465" s="1">
        <v>37355</v>
      </c>
      <c r="AB465">
        <v>464</v>
      </c>
    </row>
    <row r="466" spans="27:28" x14ac:dyDescent="0.35">
      <c r="AA466" s="1">
        <v>37356</v>
      </c>
      <c r="AB466">
        <v>465</v>
      </c>
    </row>
    <row r="467" spans="27:28" x14ac:dyDescent="0.35">
      <c r="AA467" s="1">
        <v>37357</v>
      </c>
      <c r="AB467">
        <v>466</v>
      </c>
    </row>
    <row r="468" spans="27:28" x14ac:dyDescent="0.35">
      <c r="AA468" s="1">
        <v>37358</v>
      </c>
      <c r="AB468">
        <v>467</v>
      </c>
    </row>
    <row r="469" spans="27:28" x14ac:dyDescent="0.35">
      <c r="AA469" s="1">
        <v>37359</v>
      </c>
      <c r="AB469">
        <v>468</v>
      </c>
    </row>
    <row r="470" spans="27:28" x14ac:dyDescent="0.35">
      <c r="AA470" s="1">
        <v>37360</v>
      </c>
      <c r="AB470">
        <v>469</v>
      </c>
    </row>
    <row r="471" spans="27:28" x14ac:dyDescent="0.35">
      <c r="AA471" s="1">
        <v>37361</v>
      </c>
      <c r="AB471">
        <v>470</v>
      </c>
    </row>
    <row r="472" spans="27:28" x14ac:dyDescent="0.35">
      <c r="AA472" s="1">
        <v>37362</v>
      </c>
      <c r="AB472">
        <v>471</v>
      </c>
    </row>
    <row r="473" spans="27:28" x14ac:dyDescent="0.35">
      <c r="AA473" s="1">
        <v>37363</v>
      </c>
      <c r="AB473">
        <v>472</v>
      </c>
    </row>
    <row r="474" spans="27:28" x14ac:dyDescent="0.35">
      <c r="AA474" s="1">
        <v>37364</v>
      </c>
      <c r="AB474">
        <v>473</v>
      </c>
    </row>
    <row r="475" spans="27:28" x14ac:dyDescent="0.35">
      <c r="AA475" s="1">
        <v>37365</v>
      </c>
      <c r="AB475">
        <v>474</v>
      </c>
    </row>
    <row r="476" spans="27:28" x14ac:dyDescent="0.35">
      <c r="AA476" s="1">
        <v>37366</v>
      </c>
      <c r="AB476">
        <v>475</v>
      </c>
    </row>
    <row r="477" spans="27:28" x14ac:dyDescent="0.35">
      <c r="AA477" s="1">
        <v>37367</v>
      </c>
      <c r="AB477">
        <v>476</v>
      </c>
    </row>
    <row r="478" spans="27:28" x14ac:dyDescent="0.35">
      <c r="AA478" s="1">
        <v>37368</v>
      </c>
      <c r="AB478">
        <v>477</v>
      </c>
    </row>
    <row r="479" spans="27:28" x14ac:dyDescent="0.35">
      <c r="AA479" s="1">
        <v>37369</v>
      </c>
      <c r="AB479">
        <v>478</v>
      </c>
    </row>
    <row r="480" spans="27:28" x14ac:dyDescent="0.35">
      <c r="AA480" s="1">
        <v>37370</v>
      </c>
      <c r="AB480">
        <v>479</v>
      </c>
    </row>
    <row r="481" spans="27:28" x14ac:dyDescent="0.35">
      <c r="AA481" s="1">
        <v>37371</v>
      </c>
      <c r="AB481">
        <v>480</v>
      </c>
    </row>
    <row r="482" spans="27:28" x14ac:dyDescent="0.35">
      <c r="AA482" s="1">
        <v>37372</v>
      </c>
      <c r="AB482">
        <v>481</v>
      </c>
    </row>
    <row r="483" spans="27:28" x14ac:dyDescent="0.35">
      <c r="AA483" s="1">
        <v>37373</v>
      </c>
      <c r="AB483">
        <v>482</v>
      </c>
    </row>
    <row r="484" spans="27:28" x14ac:dyDescent="0.35">
      <c r="AA484" s="1">
        <v>37374</v>
      </c>
      <c r="AB484">
        <v>483</v>
      </c>
    </row>
    <row r="485" spans="27:28" x14ac:dyDescent="0.35">
      <c r="AA485" s="1">
        <v>37375</v>
      </c>
      <c r="AB485">
        <v>484</v>
      </c>
    </row>
    <row r="486" spans="27:28" x14ac:dyDescent="0.35">
      <c r="AA486" s="1">
        <v>37376</v>
      </c>
      <c r="AB486">
        <v>485</v>
      </c>
    </row>
    <row r="487" spans="27:28" x14ac:dyDescent="0.35">
      <c r="AA487" s="1">
        <v>37377</v>
      </c>
      <c r="AB487">
        <v>486</v>
      </c>
    </row>
    <row r="488" spans="27:28" x14ac:dyDescent="0.35">
      <c r="AA488" s="1">
        <v>37378</v>
      </c>
      <c r="AB488">
        <v>487</v>
      </c>
    </row>
    <row r="489" spans="27:28" x14ac:dyDescent="0.35">
      <c r="AA489" s="1">
        <v>37379</v>
      </c>
      <c r="AB489">
        <v>488</v>
      </c>
    </row>
    <row r="490" spans="27:28" x14ac:dyDescent="0.35">
      <c r="AA490" s="1">
        <v>37380</v>
      </c>
      <c r="AB490">
        <v>489</v>
      </c>
    </row>
    <row r="491" spans="27:28" x14ac:dyDescent="0.35">
      <c r="AA491" s="1">
        <v>37381</v>
      </c>
      <c r="AB491">
        <v>490</v>
      </c>
    </row>
    <row r="492" spans="27:28" x14ac:dyDescent="0.35">
      <c r="AA492" s="1">
        <v>37382</v>
      </c>
      <c r="AB492">
        <v>491</v>
      </c>
    </row>
    <row r="493" spans="27:28" x14ac:dyDescent="0.35">
      <c r="AA493" s="1">
        <v>37383</v>
      </c>
      <c r="AB493">
        <v>492</v>
      </c>
    </row>
    <row r="494" spans="27:28" x14ac:dyDescent="0.35">
      <c r="AA494" s="1">
        <v>37384</v>
      </c>
      <c r="AB494">
        <v>493</v>
      </c>
    </row>
    <row r="495" spans="27:28" x14ac:dyDescent="0.35">
      <c r="AA495" s="1">
        <v>37385</v>
      </c>
      <c r="AB495">
        <v>494</v>
      </c>
    </row>
    <row r="496" spans="27:28" x14ac:dyDescent="0.35">
      <c r="AA496" s="1">
        <v>37386</v>
      </c>
      <c r="AB496">
        <v>495</v>
      </c>
    </row>
    <row r="497" spans="27:28" x14ac:dyDescent="0.35">
      <c r="AA497" s="1">
        <v>37387</v>
      </c>
      <c r="AB497">
        <v>496</v>
      </c>
    </row>
    <row r="498" spans="27:28" x14ac:dyDescent="0.35">
      <c r="AA498" s="1">
        <v>37388</v>
      </c>
      <c r="AB498">
        <v>497</v>
      </c>
    </row>
    <row r="499" spans="27:28" x14ac:dyDescent="0.35">
      <c r="AA499" s="1">
        <v>37389</v>
      </c>
      <c r="AB499">
        <v>498</v>
      </c>
    </row>
    <row r="500" spans="27:28" x14ac:dyDescent="0.35">
      <c r="AA500" s="1">
        <v>37390</v>
      </c>
      <c r="AB500">
        <v>499</v>
      </c>
    </row>
    <row r="501" spans="27:28" x14ac:dyDescent="0.35">
      <c r="AA501" s="1">
        <v>37391</v>
      </c>
      <c r="AB501">
        <v>500</v>
      </c>
    </row>
    <row r="502" spans="27:28" x14ac:dyDescent="0.35">
      <c r="AA502" s="1">
        <v>37392</v>
      </c>
      <c r="AB502">
        <v>501</v>
      </c>
    </row>
    <row r="503" spans="27:28" x14ac:dyDescent="0.35">
      <c r="AA503" s="1">
        <v>37393</v>
      </c>
      <c r="AB503">
        <v>502</v>
      </c>
    </row>
    <row r="504" spans="27:28" x14ac:dyDescent="0.35">
      <c r="AA504" s="1">
        <v>37394</v>
      </c>
      <c r="AB504">
        <v>503</v>
      </c>
    </row>
    <row r="505" spans="27:28" x14ac:dyDescent="0.35">
      <c r="AA505" s="1">
        <v>37395</v>
      </c>
      <c r="AB505">
        <v>504</v>
      </c>
    </row>
    <row r="506" spans="27:28" x14ac:dyDescent="0.35">
      <c r="AA506" s="1">
        <v>37396</v>
      </c>
      <c r="AB506">
        <v>505</v>
      </c>
    </row>
    <row r="507" spans="27:28" x14ac:dyDescent="0.35">
      <c r="AA507" s="1">
        <v>37397</v>
      </c>
      <c r="AB507">
        <v>506</v>
      </c>
    </row>
    <row r="508" spans="27:28" x14ac:dyDescent="0.35">
      <c r="AA508" s="1">
        <v>37398</v>
      </c>
      <c r="AB508">
        <v>507</v>
      </c>
    </row>
    <row r="509" spans="27:28" x14ac:dyDescent="0.35">
      <c r="AA509" s="1">
        <v>37399</v>
      </c>
      <c r="AB509">
        <v>508</v>
      </c>
    </row>
    <row r="510" spans="27:28" x14ac:dyDescent="0.35">
      <c r="AA510" s="1">
        <v>37400</v>
      </c>
      <c r="AB510">
        <v>509</v>
      </c>
    </row>
    <row r="511" spans="27:28" x14ac:dyDescent="0.35">
      <c r="AA511" s="1">
        <v>37401</v>
      </c>
      <c r="AB511">
        <v>510</v>
      </c>
    </row>
    <row r="512" spans="27:28" x14ac:dyDescent="0.35">
      <c r="AA512" s="1">
        <v>37402</v>
      </c>
      <c r="AB512">
        <v>511</v>
      </c>
    </row>
    <row r="513" spans="27:28" x14ac:dyDescent="0.35">
      <c r="AA513" s="1">
        <v>37403</v>
      </c>
      <c r="AB513">
        <v>512</v>
      </c>
    </row>
    <row r="514" spans="27:28" x14ac:dyDescent="0.35">
      <c r="AA514" s="1">
        <v>37404</v>
      </c>
      <c r="AB514">
        <v>513</v>
      </c>
    </row>
    <row r="515" spans="27:28" x14ac:dyDescent="0.35">
      <c r="AA515" s="1">
        <v>37405</v>
      </c>
      <c r="AB515">
        <v>514</v>
      </c>
    </row>
    <row r="516" spans="27:28" x14ac:dyDescent="0.35">
      <c r="AA516" s="1">
        <v>37406</v>
      </c>
      <c r="AB516">
        <v>515</v>
      </c>
    </row>
    <row r="517" spans="27:28" x14ac:dyDescent="0.35">
      <c r="AA517" s="1">
        <v>37407</v>
      </c>
      <c r="AB517">
        <v>516</v>
      </c>
    </row>
    <row r="518" spans="27:28" x14ac:dyDescent="0.35">
      <c r="AA518" s="1">
        <v>37408</v>
      </c>
      <c r="AB518">
        <v>517</v>
      </c>
    </row>
    <row r="519" spans="27:28" x14ac:dyDescent="0.35">
      <c r="AA519" s="1">
        <v>37409</v>
      </c>
      <c r="AB519">
        <v>518</v>
      </c>
    </row>
    <row r="520" spans="27:28" x14ac:dyDescent="0.35">
      <c r="AA520" s="1">
        <v>37410</v>
      </c>
      <c r="AB520">
        <v>519</v>
      </c>
    </row>
    <row r="521" spans="27:28" x14ac:dyDescent="0.35">
      <c r="AA521" s="1">
        <v>37411</v>
      </c>
      <c r="AB521">
        <v>520</v>
      </c>
    </row>
    <row r="522" spans="27:28" x14ac:dyDescent="0.35">
      <c r="AA522" s="1">
        <v>37412</v>
      </c>
      <c r="AB522">
        <v>521</v>
      </c>
    </row>
    <row r="523" spans="27:28" x14ac:dyDescent="0.35">
      <c r="AA523" s="1">
        <v>37413</v>
      </c>
      <c r="AB523">
        <v>522</v>
      </c>
    </row>
    <row r="524" spans="27:28" x14ac:dyDescent="0.35">
      <c r="AA524" s="1">
        <v>37414</v>
      </c>
      <c r="AB524">
        <v>523</v>
      </c>
    </row>
    <row r="525" spans="27:28" x14ac:dyDescent="0.35">
      <c r="AA525" s="1">
        <v>37415</v>
      </c>
      <c r="AB525">
        <v>524</v>
      </c>
    </row>
    <row r="526" spans="27:28" x14ac:dyDescent="0.35">
      <c r="AA526" s="1">
        <v>37416</v>
      </c>
      <c r="AB526">
        <v>525</v>
      </c>
    </row>
    <row r="527" spans="27:28" x14ac:dyDescent="0.35">
      <c r="AA527" s="1">
        <v>37417</v>
      </c>
      <c r="AB527">
        <v>526</v>
      </c>
    </row>
    <row r="528" spans="27:28" x14ac:dyDescent="0.35">
      <c r="AA528" s="1">
        <v>37418</v>
      </c>
      <c r="AB528">
        <v>527</v>
      </c>
    </row>
    <row r="529" spans="27:28" x14ac:dyDescent="0.35">
      <c r="AA529" s="1">
        <v>37419</v>
      </c>
      <c r="AB529">
        <v>528</v>
      </c>
    </row>
    <row r="530" spans="27:28" x14ac:dyDescent="0.35">
      <c r="AA530" s="1">
        <v>37420</v>
      </c>
      <c r="AB530">
        <v>529</v>
      </c>
    </row>
    <row r="531" spans="27:28" x14ac:dyDescent="0.35">
      <c r="AA531" s="1">
        <v>37421</v>
      </c>
      <c r="AB531">
        <v>530</v>
      </c>
    </row>
    <row r="532" spans="27:28" x14ac:dyDescent="0.35">
      <c r="AA532" s="1">
        <v>37422</v>
      </c>
      <c r="AB532">
        <v>531</v>
      </c>
    </row>
    <row r="533" spans="27:28" x14ac:dyDescent="0.35">
      <c r="AA533" s="1">
        <v>37423</v>
      </c>
      <c r="AB533">
        <v>532</v>
      </c>
    </row>
    <row r="534" spans="27:28" x14ac:dyDescent="0.35">
      <c r="AA534" s="1">
        <v>37424</v>
      </c>
      <c r="AB534">
        <v>533</v>
      </c>
    </row>
    <row r="535" spans="27:28" x14ac:dyDescent="0.35">
      <c r="AA535" s="1">
        <v>37425</v>
      </c>
      <c r="AB535">
        <v>534</v>
      </c>
    </row>
    <row r="536" spans="27:28" x14ac:dyDescent="0.35">
      <c r="AA536" s="1">
        <v>37426</v>
      </c>
      <c r="AB536">
        <v>535</v>
      </c>
    </row>
    <row r="537" spans="27:28" x14ac:dyDescent="0.35">
      <c r="AA537" s="1">
        <v>37427</v>
      </c>
      <c r="AB537">
        <v>536</v>
      </c>
    </row>
    <row r="538" spans="27:28" x14ac:dyDescent="0.35">
      <c r="AA538" s="1">
        <v>37428</v>
      </c>
      <c r="AB538">
        <v>537</v>
      </c>
    </row>
    <row r="539" spans="27:28" x14ac:dyDescent="0.35">
      <c r="AA539" s="1">
        <v>37429</v>
      </c>
      <c r="AB539">
        <v>538</v>
      </c>
    </row>
    <row r="540" spans="27:28" x14ac:dyDescent="0.35">
      <c r="AA540" s="1">
        <v>37430</v>
      </c>
      <c r="AB540">
        <v>539</v>
      </c>
    </row>
    <row r="541" spans="27:28" x14ac:dyDescent="0.35">
      <c r="AA541" s="1">
        <v>37431</v>
      </c>
      <c r="AB541">
        <v>540</v>
      </c>
    </row>
    <row r="542" spans="27:28" x14ac:dyDescent="0.35">
      <c r="AA542" s="1">
        <v>37432</v>
      </c>
      <c r="AB542">
        <v>541</v>
      </c>
    </row>
    <row r="543" spans="27:28" x14ac:dyDescent="0.35">
      <c r="AA543" s="1">
        <v>37433</v>
      </c>
      <c r="AB543">
        <v>542</v>
      </c>
    </row>
    <row r="544" spans="27:28" x14ac:dyDescent="0.35">
      <c r="AA544" s="1">
        <v>37434</v>
      </c>
      <c r="AB544">
        <v>543</v>
      </c>
    </row>
    <row r="545" spans="27:28" x14ac:dyDescent="0.35">
      <c r="AA545" s="1">
        <v>37435</v>
      </c>
      <c r="AB545">
        <v>544</v>
      </c>
    </row>
    <row r="546" spans="27:28" x14ac:dyDescent="0.35">
      <c r="AA546" s="1">
        <v>37436</v>
      </c>
      <c r="AB546">
        <v>545</v>
      </c>
    </row>
    <row r="547" spans="27:28" x14ac:dyDescent="0.35">
      <c r="AA547" s="1">
        <v>37437</v>
      </c>
      <c r="AB547">
        <v>546</v>
      </c>
    </row>
    <row r="548" spans="27:28" x14ac:dyDescent="0.35">
      <c r="AA548" s="1">
        <v>37438</v>
      </c>
      <c r="AB548">
        <v>547</v>
      </c>
    </row>
    <row r="549" spans="27:28" x14ac:dyDescent="0.35">
      <c r="AA549" s="1">
        <v>37439</v>
      </c>
      <c r="AB549">
        <v>548</v>
      </c>
    </row>
    <row r="550" spans="27:28" x14ac:dyDescent="0.35">
      <c r="AA550" s="1">
        <v>37440</v>
      </c>
      <c r="AB550">
        <v>549</v>
      </c>
    </row>
    <row r="551" spans="27:28" x14ac:dyDescent="0.35">
      <c r="AA551" s="1">
        <v>37441</v>
      </c>
      <c r="AB551">
        <v>550</v>
      </c>
    </row>
    <row r="552" spans="27:28" x14ac:dyDescent="0.35">
      <c r="AA552" s="1">
        <v>37442</v>
      </c>
      <c r="AB552">
        <v>551</v>
      </c>
    </row>
    <row r="553" spans="27:28" x14ac:dyDescent="0.35">
      <c r="AA553" s="1">
        <v>37443</v>
      </c>
      <c r="AB553">
        <v>552</v>
      </c>
    </row>
    <row r="554" spans="27:28" x14ac:dyDescent="0.35">
      <c r="AA554" s="1">
        <v>37444</v>
      </c>
      <c r="AB554">
        <v>553</v>
      </c>
    </row>
    <row r="555" spans="27:28" x14ac:dyDescent="0.35">
      <c r="AA555" s="1">
        <v>37445</v>
      </c>
      <c r="AB555">
        <v>554</v>
      </c>
    </row>
    <row r="556" spans="27:28" x14ac:dyDescent="0.35">
      <c r="AA556" s="1">
        <v>37446</v>
      </c>
      <c r="AB556">
        <v>555</v>
      </c>
    </row>
    <row r="557" spans="27:28" x14ac:dyDescent="0.35">
      <c r="AA557" s="1">
        <v>37447</v>
      </c>
      <c r="AB557">
        <v>556</v>
      </c>
    </row>
    <row r="558" spans="27:28" x14ac:dyDescent="0.35">
      <c r="AA558" s="1">
        <v>37448</v>
      </c>
      <c r="AB558">
        <v>557</v>
      </c>
    </row>
    <row r="559" spans="27:28" x14ac:dyDescent="0.35">
      <c r="AA559" s="1">
        <v>37449</v>
      </c>
      <c r="AB559">
        <v>558</v>
      </c>
    </row>
    <row r="560" spans="27:28" x14ac:dyDescent="0.35">
      <c r="AA560" s="1">
        <v>37450</v>
      </c>
      <c r="AB560">
        <v>559</v>
      </c>
    </row>
    <row r="561" spans="27:28" x14ac:dyDescent="0.35">
      <c r="AA561" s="1">
        <v>37451</v>
      </c>
      <c r="AB561">
        <v>560</v>
      </c>
    </row>
    <row r="562" spans="27:28" x14ac:dyDescent="0.35">
      <c r="AA562" s="1">
        <v>37452</v>
      </c>
      <c r="AB562">
        <v>561</v>
      </c>
    </row>
    <row r="563" spans="27:28" x14ac:dyDescent="0.35">
      <c r="AA563" s="1">
        <v>37453</v>
      </c>
      <c r="AB563">
        <v>562</v>
      </c>
    </row>
    <row r="564" spans="27:28" x14ac:dyDescent="0.35">
      <c r="AA564" s="1">
        <v>37454</v>
      </c>
      <c r="AB564">
        <v>563</v>
      </c>
    </row>
    <row r="565" spans="27:28" x14ac:dyDescent="0.35">
      <c r="AA565" s="1">
        <v>37455</v>
      </c>
      <c r="AB565">
        <v>564</v>
      </c>
    </row>
    <row r="566" spans="27:28" x14ac:dyDescent="0.35">
      <c r="AA566" s="1">
        <v>37456</v>
      </c>
      <c r="AB566">
        <v>565</v>
      </c>
    </row>
    <row r="567" spans="27:28" x14ac:dyDescent="0.35">
      <c r="AA567" s="1">
        <v>37457</v>
      </c>
      <c r="AB567">
        <v>566</v>
      </c>
    </row>
    <row r="568" spans="27:28" x14ac:dyDescent="0.35">
      <c r="AA568" s="1">
        <v>37458</v>
      </c>
      <c r="AB568">
        <v>567</v>
      </c>
    </row>
    <row r="569" spans="27:28" x14ac:dyDescent="0.35">
      <c r="AA569" s="1">
        <v>37459</v>
      </c>
      <c r="AB569">
        <v>568</v>
      </c>
    </row>
    <row r="570" spans="27:28" x14ac:dyDescent="0.35">
      <c r="AA570" s="1">
        <v>37460</v>
      </c>
      <c r="AB570">
        <v>569</v>
      </c>
    </row>
    <row r="571" spans="27:28" x14ac:dyDescent="0.35">
      <c r="AA571" s="1">
        <v>37461</v>
      </c>
      <c r="AB571">
        <v>570</v>
      </c>
    </row>
    <row r="572" spans="27:28" x14ac:dyDescent="0.35">
      <c r="AA572" s="1">
        <v>37462</v>
      </c>
      <c r="AB572">
        <v>571</v>
      </c>
    </row>
    <row r="573" spans="27:28" x14ac:dyDescent="0.35">
      <c r="AA573" s="1">
        <v>37463</v>
      </c>
      <c r="AB573">
        <v>572</v>
      </c>
    </row>
    <row r="574" spans="27:28" x14ac:dyDescent="0.35">
      <c r="AA574" s="1">
        <v>37464</v>
      </c>
      <c r="AB574">
        <v>573</v>
      </c>
    </row>
    <row r="575" spans="27:28" x14ac:dyDescent="0.35">
      <c r="AA575" s="1">
        <v>37465</v>
      </c>
      <c r="AB575">
        <v>574</v>
      </c>
    </row>
    <row r="576" spans="27:28" x14ac:dyDescent="0.35">
      <c r="AA576" s="1">
        <v>37466</v>
      </c>
      <c r="AB576">
        <v>575</v>
      </c>
    </row>
    <row r="577" spans="27:28" x14ac:dyDescent="0.35">
      <c r="AA577" s="1">
        <v>37467</v>
      </c>
      <c r="AB577">
        <v>576</v>
      </c>
    </row>
    <row r="578" spans="27:28" x14ac:dyDescent="0.35">
      <c r="AA578" s="1">
        <v>37468</v>
      </c>
      <c r="AB578">
        <v>577</v>
      </c>
    </row>
    <row r="579" spans="27:28" x14ac:dyDescent="0.35">
      <c r="AA579" s="1">
        <v>37469</v>
      </c>
      <c r="AB579">
        <v>578</v>
      </c>
    </row>
    <row r="580" spans="27:28" x14ac:dyDescent="0.35">
      <c r="AA580" s="1">
        <v>37470</v>
      </c>
      <c r="AB580">
        <v>579</v>
      </c>
    </row>
    <row r="581" spans="27:28" x14ac:dyDescent="0.35">
      <c r="AA581" s="1">
        <v>37471</v>
      </c>
      <c r="AB581">
        <v>580</v>
      </c>
    </row>
    <row r="582" spans="27:28" x14ac:dyDescent="0.35">
      <c r="AA582" s="1">
        <v>37472</v>
      </c>
      <c r="AB582">
        <v>581</v>
      </c>
    </row>
    <row r="583" spans="27:28" x14ac:dyDescent="0.35">
      <c r="AA583" s="1">
        <v>37473</v>
      </c>
      <c r="AB583">
        <v>582</v>
      </c>
    </row>
    <row r="584" spans="27:28" x14ac:dyDescent="0.35">
      <c r="AA584" s="1">
        <v>37474</v>
      </c>
      <c r="AB584">
        <v>583</v>
      </c>
    </row>
    <row r="585" spans="27:28" x14ac:dyDescent="0.35">
      <c r="AA585" s="1">
        <v>37475</v>
      </c>
      <c r="AB585">
        <v>584</v>
      </c>
    </row>
    <row r="586" spans="27:28" x14ac:dyDescent="0.35">
      <c r="AA586" s="1">
        <v>37476</v>
      </c>
      <c r="AB586">
        <v>585</v>
      </c>
    </row>
    <row r="587" spans="27:28" x14ac:dyDescent="0.35">
      <c r="AA587" s="1">
        <v>37477</v>
      </c>
      <c r="AB587">
        <v>586</v>
      </c>
    </row>
    <row r="588" spans="27:28" x14ac:dyDescent="0.35">
      <c r="AA588" s="1">
        <v>37478</v>
      </c>
      <c r="AB588">
        <v>587</v>
      </c>
    </row>
    <row r="589" spans="27:28" x14ac:dyDescent="0.35">
      <c r="AA589" s="1">
        <v>37479</v>
      </c>
      <c r="AB589">
        <v>588</v>
      </c>
    </row>
    <row r="590" spans="27:28" x14ac:dyDescent="0.35">
      <c r="AA590" s="1">
        <v>37480</v>
      </c>
      <c r="AB590">
        <v>589</v>
      </c>
    </row>
    <row r="591" spans="27:28" x14ac:dyDescent="0.35">
      <c r="AA591" s="1">
        <v>37481</v>
      </c>
      <c r="AB591">
        <v>590</v>
      </c>
    </row>
    <row r="592" spans="27:28" x14ac:dyDescent="0.35">
      <c r="AA592" s="1">
        <v>37482</v>
      </c>
      <c r="AB592">
        <v>591</v>
      </c>
    </row>
    <row r="593" spans="27:28" x14ac:dyDescent="0.35">
      <c r="AA593" s="1">
        <v>37483</v>
      </c>
      <c r="AB593">
        <v>592</v>
      </c>
    </row>
    <row r="594" spans="27:28" x14ac:dyDescent="0.35">
      <c r="AA594" s="1">
        <v>37484</v>
      </c>
      <c r="AB594">
        <v>593</v>
      </c>
    </row>
    <row r="595" spans="27:28" x14ac:dyDescent="0.35">
      <c r="AA595" s="1">
        <v>37485</v>
      </c>
      <c r="AB595">
        <v>594</v>
      </c>
    </row>
    <row r="596" spans="27:28" x14ac:dyDescent="0.35">
      <c r="AA596" s="1">
        <v>37486</v>
      </c>
      <c r="AB596">
        <v>595</v>
      </c>
    </row>
    <row r="597" spans="27:28" x14ac:dyDescent="0.35">
      <c r="AA597" s="1">
        <v>37487</v>
      </c>
      <c r="AB597">
        <v>596</v>
      </c>
    </row>
    <row r="598" spans="27:28" x14ac:dyDescent="0.35">
      <c r="AA598" s="1">
        <v>37488</v>
      </c>
      <c r="AB598">
        <v>597</v>
      </c>
    </row>
    <row r="599" spans="27:28" x14ac:dyDescent="0.35">
      <c r="AA599" s="1">
        <v>37489</v>
      </c>
      <c r="AB599">
        <v>598</v>
      </c>
    </row>
    <row r="600" spans="27:28" x14ac:dyDescent="0.35">
      <c r="AA600" s="1">
        <v>37490</v>
      </c>
      <c r="AB600">
        <v>599</v>
      </c>
    </row>
    <row r="601" spans="27:28" x14ac:dyDescent="0.35">
      <c r="AA601" s="1">
        <v>37491</v>
      </c>
      <c r="AB601">
        <v>600</v>
      </c>
    </row>
    <row r="602" spans="27:28" x14ac:dyDescent="0.35">
      <c r="AA602" s="1">
        <v>37492</v>
      </c>
      <c r="AB602">
        <v>601</v>
      </c>
    </row>
    <row r="603" spans="27:28" x14ac:dyDescent="0.35">
      <c r="AA603" s="1">
        <v>37493</v>
      </c>
      <c r="AB603">
        <v>602</v>
      </c>
    </row>
    <row r="604" spans="27:28" x14ac:dyDescent="0.35">
      <c r="AA604" s="1">
        <v>37494</v>
      </c>
      <c r="AB604">
        <v>603</v>
      </c>
    </row>
    <row r="605" spans="27:28" x14ac:dyDescent="0.35">
      <c r="AA605" s="1">
        <v>37495</v>
      </c>
      <c r="AB605">
        <v>604</v>
      </c>
    </row>
    <row r="606" spans="27:28" x14ac:dyDescent="0.35">
      <c r="AA606" s="1">
        <v>37496</v>
      </c>
      <c r="AB606">
        <v>605</v>
      </c>
    </row>
    <row r="607" spans="27:28" x14ac:dyDescent="0.35">
      <c r="AA607" s="1">
        <v>37497</v>
      </c>
      <c r="AB607">
        <v>606</v>
      </c>
    </row>
    <row r="608" spans="27:28" x14ac:dyDescent="0.35">
      <c r="AA608" s="1">
        <v>37498</v>
      </c>
      <c r="AB608">
        <v>607</v>
      </c>
    </row>
    <row r="609" spans="27:28" x14ac:dyDescent="0.35">
      <c r="AA609" s="1">
        <v>37499</v>
      </c>
      <c r="AB609">
        <v>608</v>
      </c>
    </row>
    <row r="610" spans="27:28" x14ac:dyDescent="0.35">
      <c r="AA610" s="1">
        <v>37500</v>
      </c>
      <c r="AB610">
        <v>609</v>
      </c>
    </row>
    <row r="611" spans="27:28" x14ac:dyDescent="0.35">
      <c r="AA611" s="1">
        <v>37501</v>
      </c>
      <c r="AB611">
        <v>610</v>
      </c>
    </row>
    <row r="612" spans="27:28" x14ac:dyDescent="0.35">
      <c r="AA612" s="1">
        <v>37502</v>
      </c>
      <c r="AB612">
        <v>611</v>
      </c>
    </row>
    <row r="613" spans="27:28" x14ac:dyDescent="0.35">
      <c r="AA613" s="1">
        <v>37503</v>
      </c>
      <c r="AB613">
        <v>612</v>
      </c>
    </row>
    <row r="614" spans="27:28" x14ac:dyDescent="0.35">
      <c r="AA614" s="1">
        <v>37504</v>
      </c>
      <c r="AB614">
        <v>613</v>
      </c>
    </row>
    <row r="615" spans="27:28" x14ac:dyDescent="0.35">
      <c r="AA615" s="1">
        <v>37505</v>
      </c>
      <c r="AB615">
        <v>614</v>
      </c>
    </row>
    <row r="616" spans="27:28" x14ac:dyDescent="0.35">
      <c r="AA616" s="1">
        <v>37506</v>
      </c>
      <c r="AB616">
        <v>615</v>
      </c>
    </row>
    <row r="617" spans="27:28" x14ac:dyDescent="0.35">
      <c r="AA617" s="1">
        <v>37507</v>
      </c>
      <c r="AB617">
        <v>616</v>
      </c>
    </row>
    <row r="618" spans="27:28" x14ac:dyDescent="0.35">
      <c r="AA618" s="1">
        <v>37508</v>
      </c>
      <c r="AB618">
        <v>617</v>
      </c>
    </row>
    <row r="619" spans="27:28" x14ac:dyDescent="0.35">
      <c r="AA619" s="1">
        <v>37509</v>
      </c>
      <c r="AB619">
        <v>618</v>
      </c>
    </row>
    <row r="620" spans="27:28" x14ac:dyDescent="0.35">
      <c r="AA620" s="1">
        <v>37510</v>
      </c>
      <c r="AB620">
        <v>619</v>
      </c>
    </row>
    <row r="621" spans="27:28" x14ac:dyDescent="0.35">
      <c r="AA621" s="1">
        <v>37511</v>
      </c>
      <c r="AB621">
        <v>620</v>
      </c>
    </row>
    <row r="622" spans="27:28" x14ac:dyDescent="0.35">
      <c r="AA622" s="1">
        <v>37512</v>
      </c>
      <c r="AB622">
        <v>621</v>
      </c>
    </row>
    <row r="623" spans="27:28" x14ac:dyDescent="0.35">
      <c r="AA623" s="1">
        <v>37513</v>
      </c>
      <c r="AB623">
        <v>622</v>
      </c>
    </row>
    <row r="624" spans="27:28" x14ac:dyDescent="0.35">
      <c r="AA624" s="1">
        <v>37514</v>
      </c>
      <c r="AB624">
        <v>623</v>
      </c>
    </row>
    <row r="625" spans="27:28" x14ac:dyDescent="0.35">
      <c r="AA625" s="1">
        <v>37515</v>
      </c>
      <c r="AB625">
        <v>624</v>
      </c>
    </row>
    <row r="626" spans="27:28" x14ac:dyDescent="0.35">
      <c r="AA626" s="1">
        <v>37516</v>
      </c>
      <c r="AB626">
        <v>625</v>
      </c>
    </row>
    <row r="627" spans="27:28" x14ac:dyDescent="0.35">
      <c r="AA627" s="1">
        <v>37517</v>
      </c>
      <c r="AB627">
        <v>626</v>
      </c>
    </row>
    <row r="628" spans="27:28" x14ac:dyDescent="0.35">
      <c r="AA628" s="1">
        <v>37518</v>
      </c>
      <c r="AB628">
        <v>627</v>
      </c>
    </row>
    <row r="629" spans="27:28" x14ac:dyDescent="0.35">
      <c r="AA629" s="1">
        <v>37519</v>
      </c>
      <c r="AB629">
        <v>628</v>
      </c>
    </row>
    <row r="630" spans="27:28" x14ac:dyDescent="0.35">
      <c r="AA630" s="1">
        <v>37520</v>
      </c>
      <c r="AB630">
        <v>629</v>
      </c>
    </row>
    <row r="631" spans="27:28" x14ac:dyDescent="0.35">
      <c r="AA631" s="1">
        <v>37521</v>
      </c>
      <c r="AB631">
        <v>630</v>
      </c>
    </row>
    <row r="632" spans="27:28" x14ac:dyDescent="0.35">
      <c r="AA632" s="1">
        <v>37522</v>
      </c>
      <c r="AB632">
        <v>631</v>
      </c>
    </row>
    <row r="633" spans="27:28" x14ac:dyDescent="0.35">
      <c r="AA633" s="1">
        <v>37523</v>
      </c>
      <c r="AB633">
        <v>632</v>
      </c>
    </row>
    <row r="634" spans="27:28" x14ac:dyDescent="0.35">
      <c r="AA634" s="1">
        <v>37524</v>
      </c>
      <c r="AB634">
        <v>633</v>
      </c>
    </row>
    <row r="635" spans="27:28" x14ac:dyDescent="0.35">
      <c r="AA635" s="1">
        <v>37525</v>
      </c>
      <c r="AB635">
        <v>634</v>
      </c>
    </row>
    <row r="636" spans="27:28" x14ac:dyDescent="0.35">
      <c r="AA636" s="1">
        <v>37526</v>
      </c>
      <c r="AB636">
        <v>635</v>
      </c>
    </row>
    <row r="637" spans="27:28" x14ac:dyDescent="0.35">
      <c r="AA637" s="1">
        <v>37527</v>
      </c>
      <c r="AB637">
        <v>636</v>
      </c>
    </row>
    <row r="638" spans="27:28" x14ac:dyDescent="0.35">
      <c r="AA638" s="1">
        <v>37528</v>
      </c>
      <c r="AB638">
        <v>637</v>
      </c>
    </row>
    <row r="639" spans="27:28" x14ac:dyDescent="0.35">
      <c r="AA639" s="1">
        <v>37529</v>
      </c>
      <c r="AB639">
        <v>638</v>
      </c>
    </row>
    <row r="640" spans="27:28" x14ac:dyDescent="0.35">
      <c r="AA640" s="1">
        <v>37530</v>
      </c>
      <c r="AB640">
        <v>639</v>
      </c>
    </row>
    <row r="641" spans="27:28" x14ac:dyDescent="0.35">
      <c r="AA641" s="1">
        <v>37531</v>
      </c>
      <c r="AB641">
        <v>640</v>
      </c>
    </row>
    <row r="642" spans="27:28" x14ac:dyDescent="0.35">
      <c r="AA642" s="1">
        <v>37532</v>
      </c>
      <c r="AB642">
        <v>641</v>
      </c>
    </row>
    <row r="643" spans="27:28" x14ac:dyDescent="0.35">
      <c r="AA643" s="1">
        <v>37533</v>
      </c>
      <c r="AB643">
        <v>642</v>
      </c>
    </row>
    <row r="644" spans="27:28" x14ac:dyDescent="0.35">
      <c r="AA644" s="1">
        <v>37534</v>
      </c>
      <c r="AB644">
        <v>643</v>
      </c>
    </row>
    <row r="645" spans="27:28" x14ac:dyDescent="0.35">
      <c r="AA645" s="1">
        <v>37535</v>
      </c>
      <c r="AB645">
        <v>644</v>
      </c>
    </row>
    <row r="646" spans="27:28" x14ac:dyDescent="0.35">
      <c r="AA646" s="1">
        <v>37536</v>
      </c>
      <c r="AB646">
        <v>645</v>
      </c>
    </row>
    <row r="647" spans="27:28" x14ac:dyDescent="0.35">
      <c r="AA647" s="1">
        <v>37537</v>
      </c>
      <c r="AB647">
        <v>646</v>
      </c>
    </row>
    <row r="648" spans="27:28" x14ac:dyDescent="0.35">
      <c r="AA648" s="1">
        <v>37538</v>
      </c>
      <c r="AB648">
        <v>647</v>
      </c>
    </row>
    <row r="649" spans="27:28" x14ac:dyDescent="0.35">
      <c r="AA649" s="1">
        <v>37539</v>
      </c>
      <c r="AB649">
        <v>648</v>
      </c>
    </row>
    <row r="650" spans="27:28" x14ac:dyDescent="0.35">
      <c r="AA650" s="1">
        <v>37540</v>
      </c>
      <c r="AB650">
        <v>649</v>
      </c>
    </row>
    <row r="651" spans="27:28" x14ac:dyDescent="0.35">
      <c r="AA651" s="1">
        <v>37541</v>
      </c>
      <c r="AB651">
        <v>650</v>
      </c>
    </row>
    <row r="652" spans="27:28" x14ac:dyDescent="0.35">
      <c r="AA652" s="1">
        <v>37542</v>
      </c>
      <c r="AB652">
        <v>651</v>
      </c>
    </row>
    <row r="653" spans="27:28" x14ac:dyDescent="0.35">
      <c r="AA653" s="1">
        <v>37543</v>
      </c>
      <c r="AB653">
        <v>652</v>
      </c>
    </row>
    <row r="654" spans="27:28" x14ac:dyDescent="0.35">
      <c r="AA654" s="1">
        <v>37544</v>
      </c>
      <c r="AB654">
        <v>653</v>
      </c>
    </row>
    <row r="655" spans="27:28" x14ac:dyDescent="0.35">
      <c r="AA655" s="1">
        <v>37545</v>
      </c>
      <c r="AB655">
        <v>654</v>
      </c>
    </row>
    <row r="656" spans="27:28" x14ac:dyDescent="0.35">
      <c r="AA656" s="1">
        <v>37546</v>
      </c>
      <c r="AB656">
        <v>655</v>
      </c>
    </row>
    <row r="657" spans="27:28" x14ac:dyDescent="0.35">
      <c r="AA657" s="1">
        <v>37547</v>
      </c>
      <c r="AB657">
        <v>656</v>
      </c>
    </row>
    <row r="658" spans="27:28" x14ac:dyDescent="0.35">
      <c r="AA658" s="1">
        <v>37548</v>
      </c>
      <c r="AB658">
        <v>657</v>
      </c>
    </row>
    <row r="659" spans="27:28" x14ac:dyDescent="0.35">
      <c r="AA659" s="1">
        <v>37549</v>
      </c>
      <c r="AB659">
        <v>658</v>
      </c>
    </row>
    <row r="660" spans="27:28" x14ac:dyDescent="0.35">
      <c r="AA660" s="1">
        <v>37550</v>
      </c>
      <c r="AB660">
        <v>659</v>
      </c>
    </row>
    <row r="661" spans="27:28" x14ac:dyDescent="0.35">
      <c r="AA661" s="1">
        <v>37551</v>
      </c>
      <c r="AB661">
        <v>660</v>
      </c>
    </row>
    <row r="662" spans="27:28" x14ac:dyDescent="0.35">
      <c r="AA662" s="1">
        <v>37552</v>
      </c>
      <c r="AB662">
        <v>661</v>
      </c>
    </row>
    <row r="663" spans="27:28" x14ac:dyDescent="0.35">
      <c r="AA663" s="1">
        <v>37553</v>
      </c>
      <c r="AB663">
        <v>662</v>
      </c>
    </row>
    <row r="664" spans="27:28" x14ac:dyDescent="0.35">
      <c r="AA664" s="1">
        <v>37554</v>
      </c>
      <c r="AB664">
        <v>663</v>
      </c>
    </row>
    <row r="665" spans="27:28" x14ac:dyDescent="0.35">
      <c r="AA665" s="1">
        <v>37555</v>
      </c>
      <c r="AB665">
        <v>664</v>
      </c>
    </row>
    <row r="666" spans="27:28" x14ac:dyDescent="0.35">
      <c r="AA666" s="1">
        <v>37556</v>
      </c>
      <c r="AB666">
        <v>665</v>
      </c>
    </row>
    <row r="667" spans="27:28" x14ac:dyDescent="0.35">
      <c r="AA667" s="1">
        <v>37557</v>
      </c>
      <c r="AB667">
        <v>666</v>
      </c>
    </row>
    <row r="668" spans="27:28" x14ac:dyDescent="0.35">
      <c r="AA668" s="1">
        <v>37558</v>
      </c>
      <c r="AB668">
        <v>667</v>
      </c>
    </row>
    <row r="669" spans="27:28" x14ac:dyDescent="0.35">
      <c r="AA669" s="1">
        <v>37559</v>
      </c>
      <c r="AB669">
        <v>668</v>
      </c>
    </row>
    <row r="670" spans="27:28" x14ac:dyDescent="0.35">
      <c r="AA670" s="1">
        <v>37560</v>
      </c>
      <c r="AB670">
        <v>669</v>
      </c>
    </row>
    <row r="671" spans="27:28" x14ac:dyDescent="0.35">
      <c r="AA671" s="1">
        <v>37561</v>
      </c>
      <c r="AB671">
        <v>670</v>
      </c>
    </row>
    <row r="672" spans="27:28" x14ac:dyDescent="0.35">
      <c r="AA672" s="1">
        <v>37562</v>
      </c>
      <c r="AB672">
        <v>671</v>
      </c>
    </row>
    <row r="673" spans="27:28" x14ac:dyDescent="0.35">
      <c r="AA673" s="1">
        <v>37563</v>
      </c>
      <c r="AB673">
        <v>672</v>
      </c>
    </row>
    <row r="674" spans="27:28" x14ac:dyDescent="0.35">
      <c r="AA674" s="1">
        <v>37564</v>
      </c>
      <c r="AB674">
        <v>673</v>
      </c>
    </row>
    <row r="675" spans="27:28" x14ac:dyDescent="0.35">
      <c r="AA675" s="1">
        <v>37565</v>
      </c>
      <c r="AB675">
        <v>674</v>
      </c>
    </row>
    <row r="676" spans="27:28" x14ac:dyDescent="0.35">
      <c r="AA676" s="1">
        <v>37566</v>
      </c>
      <c r="AB676">
        <v>675</v>
      </c>
    </row>
    <row r="677" spans="27:28" x14ac:dyDescent="0.35">
      <c r="AA677" s="1">
        <v>37567</v>
      </c>
      <c r="AB677">
        <v>676</v>
      </c>
    </row>
    <row r="678" spans="27:28" x14ac:dyDescent="0.35">
      <c r="AA678" s="1">
        <v>37568</v>
      </c>
      <c r="AB678">
        <v>677</v>
      </c>
    </row>
    <row r="679" spans="27:28" x14ac:dyDescent="0.35">
      <c r="AA679" s="1">
        <v>37569</v>
      </c>
      <c r="AB679">
        <v>678</v>
      </c>
    </row>
    <row r="680" spans="27:28" x14ac:dyDescent="0.35">
      <c r="AA680" s="1">
        <v>37570</v>
      </c>
      <c r="AB680">
        <v>679</v>
      </c>
    </row>
    <row r="681" spans="27:28" x14ac:dyDescent="0.35">
      <c r="AA681" s="1">
        <v>37571</v>
      </c>
      <c r="AB681">
        <v>680</v>
      </c>
    </row>
    <row r="682" spans="27:28" x14ac:dyDescent="0.35">
      <c r="AA682" s="1">
        <v>37572</v>
      </c>
      <c r="AB682">
        <v>681</v>
      </c>
    </row>
    <row r="683" spans="27:28" x14ac:dyDescent="0.35">
      <c r="AA683" s="1">
        <v>37573</v>
      </c>
      <c r="AB683">
        <v>682</v>
      </c>
    </row>
    <row r="684" spans="27:28" x14ac:dyDescent="0.35">
      <c r="AA684" s="1">
        <v>37574</v>
      </c>
      <c r="AB684">
        <v>683</v>
      </c>
    </row>
    <row r="685" spans="27:28" x14ac:dyDescent="0.35">
      <c r="AA685" s="1">
        <v>37575</v>
      </c>
      <c r="AB685">
        <v>684</v>
      </c>
    </row>
    <row r="686" spans="27:28" x14ac:dyDescent="0.35">
      <c r="AA686" s="1">
        <v>37576</v>
      </c>
      <c r="AB686">
        <v>685</v>
      </c>
    </row>
    <row r="687" spans="27:28" x14ac:dyDescent="0.35">
      <c r="AA687" s="1">
        <v>37577</v>
      </c>
      <c r="AB687">
        <v>686</v>
      </c>
    </row>
    <row r="688" spans="27:28" x14ac:dyDescent="0.35">
      <c r="AA688" s="1">
        <v>37578</v>
      </c>
      <c r="AB688">
        <v>687</v>
      </c>
    </row>
    <row r="689" spans="27:28" x14ac:dyDescent="0.35">
      <c r="AA689" s="1">
        <v>37579</v>
      </c>
      <c r="AB689">
        <v>688</v>
      </c>
    </row>
    <row r="690" spans="27:28" x14ac:dyDescent="0.35">
      <c r="AA690" s="1">
        <v>37580</v>
      </c>
      <c r="AB690">
        <v>689</v>
      </c>
    </row>
    <row r="691" spans="27:28" x14ac:dyDescent="0.35">
      <c r="AA691" s="1">
        <v>37581</v>
      </c>
      <c r="AB691">
        <v>690</v>
      </c>
    </row>
    <row r="692" spans="27:28" x14ac:dyDescent="0.35">
      <c r="AA692" s="1">
        <v>37582</v>
      </c>
      <c r="AB692">
        <v>691</v>
      </c>
    </row>
    <row r="693" spans="27:28" x14ac:dyDescent="0.35">
      <c r="AA693" s="1">
        <v>37583</v>
      </c>
      <c r="AB693">
        <v>692</v>
      </c>
    </row>
    <row r="694" spans="27:28" x14ac:dyDescent="0.35">
      <c r="AA694" s="1">
        <v>37584</v>
      </c>
      <c r="AB694">
        <v>693</v>
      </c>
    </row>
    <row r="695" spans="27:28" x14ac:dyDescent="0.35">
      <c r="AA695" s="1">
        <v>37585</v>
      </c>
      <c r="AB695">
        <v>694</v>
      </c>
    </row>
    <row r="696" spans="27:28" x14ac:dyDescent="0.35">
      <c r="AA696" s="1">
        <v>37586</v>
      </c>
      <c r="AB696">
        <v>695</v>
      </c>
    </row>
    <row r="697" spans="27:28" x14ac:dyDescent="0.35">
      <c r="AA697" s="1">
        <v>37587</v>
      </c>
      <c r="AB697">
        <v>696</v>
      </c>
    </row>
    <row r="698" spans="27:28" x14ac:dyDescent="0.35">
      <c r="AA698" s="1">
        <v>37588</v>
      </c>
      <c r="AB698">
        <v>697</v>
      </c>
    </row>
    <row r="699" spans="27:28" x14ac:dyDescent="0.35">
      <c r="AA699" s="1">
        <v>37589</v>
      </c>
      <c r="AB699">
        <v>698</v>
      </c>
    </row>
    <row r="700" spans="27:28" x14ac:dyDescent="0.35">
      <c r="AA700" s="1">
        <v>37590</v>
      </c>
      <c r="AB700">
        <v>699</v>
      </c>
    </row>
    <row r="701" spans="27:28" x14ac:dyDescent="0.35">
      <c r="AA701" s="1">
        <v>37591</v>
      </c>
      <c r="AB701">
        <v>700</v>
      </c>
    </row>
    <row r="702" spans="27:28" x14ac:dyDescent="0.35">
      <c r="AA702" s="1">
        <v>37592</v>
      </c>
      <c r="AB702">
        <v>701</v>
      </c>
    </row>
    <row r="703" spans="27:28" x14ac:dyDescent="0.35">
      <c r="AA703" s="1">
        <v>37593</v>
      </c>
      <c r="AB703">
        <v>702</v>
      </c>
    </row>
    <row r="704" spans="27:28" x14ac:dyDescent="0.35">
      <c r="AA704" s="1">
        <v>37594</v>
      </c>
      <c r="AB704">
        <v>703</v>
      </c>
    </row>
    <row r="705" spans="27:28" x14ac:dyDescent="0.35">
      <c r="AA705" s="1">
        <v>37595</v>
      </c>
      <c r="AB705">
        <v>704</v>
      </c>
    </row>
    <row r="706" spans="27:28" x14ac:dyDescent="0.35">
      <c r="AA706" s="1">
        <v>37596</v>
      </c>
      <c r="AB706">
        <v>705</v>
      </c>
    </row>
    <row r="707" spans="27:28" x14ac:dyDescent="0.35">
      <c r="AA707" s="1">
        <v>37597</v>
      </c>
      <c r="AB707">
        <v>706</v>
      </c>
    </row>
    <row r="708" spans="27:28" x14ac:dyDescent="0.35">
      <c r="AA708" s="1">
        <v>37598</v>
      </c>
      <c r="AB708">
        <v>707</v>
      </c>
    </row>
    <row r="709" spans="27:28" x14ac:dyDescent="0.35">
      <c r="AA709" s="1">
        <v>37599</v>
      </c>
      <c r="AB709">
        <v>708</v>
      </c>
    </row>
    <row r="710" spans="27:28" x14ac:dyDescent="0.35">
      <c r="AA710" s="1">
        <v>37600</v>
      </c>
      <c r="AB710">
        <v>709</v>
      </c>
    </row>
    <row r="711" spans="27:28" x14ac:dyDescent="0.35">
      <c r="AA711" s="1">
        <v>37601</v>
      </c>
      <c r="AB711">
        <v>710</v>
      </c>
    </row>
    <row r="712" spans="27:28" x14ac:dyDescent="0.35">
      <c r="AA712" s="1">
        <v>37602</v>
      </c>
      <c r="AB712">
        <v>711</v>
      </c>
    </row>
    <row r="713" spans="27:28" x14ac:dyDescent="0.35">
      <c r="AA713" s="1">
        <v>37603</v>
      </c>
      <c r="AB713">
        <v>712</v>
      </c>
    </row>
    <row r="714" spans="27:28" x14ac:dyDescent="0.35">
      <c r="AA714" s="1">
        <v>37604</v>
      </c>
      <c r="AB714">
        <v>713</v>
      </c>
    </row>
    <row r="715" spans="27:28" x14ac:dyDescent="0.35">
      <c r="AA715" s="1">
        <v>37605</v>
      </c>
      <c r="AB715">
        <v>714</v>
      </c>
    </row>
    <row r="716" spans="27:28" x14ac:dyDescent="0.35">
      <c r="AA716" s="1">
        <v>37606</v>
      </c>
      <c r="AB716">
        <v>715</v>
      </c>
    </row>
    <row r="717" spans="27:28" x14ac:dyDescent="0.35">
      <c r="AA717" s="1">
        <v>37607</v>
      </c>
      <c r="AB717">
        <v>716</v>
      </c>
    </row>
    <row r="718" spans="27:28" x14ac:dyDescent="0.35">
      <c r="AA718" s="1">
        <v>37608</v>
      </c>
      <c r="AB718">
        <v>717</v>
      </c>
    </row>
    <row r="719" spans="27:28" x14ac:dyDescent="0.35">
      <c r="AA719" s="1">
        <v>37609</v>
      </c>
      <c r="AB719">
        <v>718</v>
      </c>
    </row>
    <row r="720" spans="27:28" x14ac:dyDescent="0.35">
      <c r="AA720" s="1">
        <v>37610</v>
      </c>
      <c r="AB720">
        <v>719</v>
      </c>
    </row>
    <row r="721" spans="27:28" x14ac:dyDescent="0.35">
      <c r="AA721" s="1">
        <v>37611</v>
      </c>
      <c r="AB721">
        <v>720</v>
      </c>
    </row>
    <row r="722" spans="27:28" x14ac:dyDescent="0.35">
      <c r="AA722" s="1">
        <v>37612</v>
      </c>
      <c r="AB722">
        <v>721</v>
      </c>
    </row>
    <row r="723" spans="27:28" x14ac:dyDescent="0.35">
      <c r="AA723" s="1">
        <v>37613</v>
      </c>
      <c r="AB723">
        <v>722</v>
      </c>
    </row>
    <row r="724" spans="27:28" x14ac:dyDescent="0.35">
      <c r="AA724" s="1">
        <v>37614</v>
      </c>
      <c r="AB724">
        <v>723</v>
      </c>
    </row>
    <row r="725" spans="27:28" x14ac:dyDescent="0.35">
      <c r="AA725" s="1">
        <v>37615</v>
      </c>
      <c r="AB725">
        <v>724</v>
      </c>
    </row>
    <row r="726" spans="27:28" x14ac:dyDescent="0.35">
      <c r="AA726" s="1">
        <v>37616</v>
      </c>
      <c r="AB726">
        <v>725</v>
      </c>
    </row>
    <row r="727" spans="27:28" x14ac:dyDescent="0.35">
      <c r="AA727" s="1">
        <v>37617</v>
      </c>
      <c r="AB727">
        <v>726</v>
      </c>
    </row>
    <row r="728" spans="27:28" x14ac:dyDescent="0.35">
      <c r="AA728" s="1">
        <v>37618</v>
      </c>
      <c r="AB728">
        <v>727</v>
      </c>
    </row>
    <row r="729" spans="27:28" x14ac:dyDescent="0.35">
      <c r="AA729" s="1">
        <v>37619</v>
      </c>
      <c r="AB729">
        <v>728</v>
      </c>
    </row>
    <row r="730" spans="27:28" x14ac:dyDescent="0.35">
      <c r="AA730" s="1">
        <v>37620</v>
      </c>
      <c r="AB730">
        <v>729</v>
      </c>
    </row>
    <row r="731" spans="27:28" x14ac:dyDescent="0.35">
      <c r="AA731" s="1">
        <v>37621</v>
      </c>
      <c r="AB731">
        <v>730</v>
      </c>
    </row>
    <row r="732" spans="27:28" x14ac:dyDescent="0.35">
      <c r="AA732" s="1">
        <v>37622</v>
      </c>
      <c r="AB732">
        <v>731</v>
      </c>
    </row>
    <row r="733" spans="27:28" x14ac:dyDescent="0.35">
      <c r="AA733" s="1">
        <v>37623</v>
      </c>
      <c r="AB733">
        <v>732</v>
      </c>
    </row>
    <row r="734" spans="27:28" x14ac:dyDescent="0.35">
      <c r="AA734" s="1">
        <v>37624</v>
      </c>
      <c r="AB734">
        <v>733</v>
      </c>
    </row>
    <row r="735" spans="27:28" x14ac:dyDescent="0.35">
      <c r="AA735" s="1">
        <v>37625</v>
      </c>
      <c r="AB735">
        <v>734</v>
      </c>
    </row>
    <row r="736" spans="27:28" x14ac:dyDescent="0.35">
      <c r="AA736" s="1">
        <v>37626</v>
      </c>
      <c r="AB736">
        <v>735</v>
      </c>
    </row>
    <row r="737" spans="27:28" x14ac:dyDescent="0.35">
      <c r="AA737" s="1">
        <v>37627</v>
      </c>
      <c r="AB737">
        <v>736</v>
      </c>
    </row>
    <row r="738" spans="27:28" x14ac:dyDescent="0.35">
      <c r="AA738" s="1">
        <v>37628</v>
      </c>
      <c r="AB738">
        <v>737</v>
      </c>
    </row>
    <row r="739" spans="27:28" x14ac:dyDescent="0.35">
      <c r="AA739" s="1">
        <v>37629</v>
      </c>
      <c r="AB739">
        <v>738</v>
      </c>
    </row>
    <row r="740" spans="27:28" x14ac:dyDescent="0.35">
      <c r="AA740" s="1">
        <v>37630</v>
      </c>
      <c r="AB740">
        <v>739</v>
      </c>
    </row>
    <row r="741" spans="27:28" x14ac:dyDescent="0.35">
      <c r="AA741" s="1">
        <v>37631</v>
      </c>
      <c r="AB741">
        <v>740</v>
      </c>
    </row>
    <row r="742" spans="27:28" x14ac:dyDescent="0.35">
      <c r="AA742" s="1">
        <v>37632</v>
      </c>
      <c r="AB742">
        <v>741</v>
      </c>
    </row>
    <row r="743" spans="27:28" x14ac:dyDescent="0.35">
      <c r="AA743" s="1">
        <v>37633</v>
      </c>
      <c r="AB743">
        <v>742</v>
      </c>
    </row>
    <row r="744" spans="27:28" x14ac:dyDescent="0.35">
      <c r="AA744" s="1">
        <v>37634</v>
      </c>
      <c r="AB744">
        <v>743</v>
      </c>
    </row>
    <row r="745" spans="27:28" x14ac:dyDescent="0.35">
      <c r="AA745" s="1">
        <v>37635</v>
      </c>
      <c r="AB745">
        <v>744</v>
      </c>
    </row>
    <row r="746" spans="27:28" x14ac:dyDescent="0.35">
      <c r="AA746" s="1">
        <v>37636</v>
      </c>
      <c r="AB746">
        <v>745</v>
      </c>
    </row>
    <row r="747" spans="27:28" x14ac:dyDescent="0.35">
      <c r="AA747" s="1">
        <v>37637</v>
      </c>
      <c r="AB747">
        <v>746</v>
      </c>
    </row>
    <row r="748" spans="27:28" x14ac:dyDescent="0.35">
      <c r="AA748" s="1">
        <v>37638</v>
      </c>
      <c r="AB748">
        <v>747</v>
      </c>
    </row>
    <row r="749" spans="27:28" x14ac:dyDescent="0.35">
      <c r="AA749" s="1">
        <v>37639</v>
      </c>
      <c r="AB749">
        <v>748</v>
      </c>
    </row>
    <row r="750" spans="27:28" x14ac:dyDescent="0.35">
      <c r="AA750" s="1">
        <v>37640</v>
      </c>
      <c r="AB750">
        <v>749</v>
      </c>
    </row>
    <row r="751" spans="27:28" x14ac:dyDescent="0.35">
      <c r="AA751" s="1">
        <v>37641</v>
      </c>
      <c r="AB751">
        <v>750</v>
      </c>
    </row>
    <row r="752" spans="27:28" x14ac:dyDescent="0.35">
      <c r="AA752" s="1">
        <v>37642</v>
      </c>
      <c r="AB752">
        <v>751</v>
      </c>
    </row>
    <row r="753" spans="27:28" x14ac:dyDescent="0.35">
      <c r="AA753" s="1">
        <v>37643</v>
      </c>
      <c r="AB753">
        <v>752</v>
      </c>
    </row>
    <row r="754" spans="27:28" x14ac:dyDescent="0.35">
      <c r="AA754" s="1">
        <v>37644</v>
      </c>
      <c r="AB754">
        <v>753</v>
      </c>
    </row>
    <row r="755" spans="27:28" x14ac:dyDescent="0.35">
      <c r="AA755" s="1">
        <v>37645</v>
      </c>
      <c r="AB755">
        <v>754</v>
      </c>
    </row>
    <row r="756" spans="27:28" x14ac:dyDescent="0.35">
      <c r="AA756" s="1">
        <v>37646</v>
      </c>
      <c r="AB756">
        <v>755</v>
      </c>
    </row>
    <row r="757" spans="27:28" x14ac:dyDescent="0.35">
      <c r="AA757" s="1">
        <v>37647</v>
      </c>
      <c r="AB757">
        <v>756</v>
      </c>
    </row>
    <row r="758" spans="27:28" x14ac:dyDescent="0.35">
      <c r="AA758" s="1">
        <v>37648</v>
      </c>
      <c r="AB758">
        <v>757</v>
      </c>
    </row>
    <row r="759" spans="27:28" x14ac:dyDescent="0.35">
      <c r="AA759" s="1">
        <v>37649</v>
      </c>
      <c r="AB759">
        <v>758</v>
      </c>
    </row>
    <row r="760" spans="27:28" x14ac:dyDescent="0.35">
      <c r="AA760" s="1">
        <v>37650</v>
      </c>
      <c r="AB760">
        <v>759</v>
      </c>
    </row>
    <row r="761" spans="27:28" x14ac:dyDescent="0.35">
      <c r="AA761" s="1">
        <v>37651</v>
      </c>
      <c r="AB761">
        <v>760</v>
      </c>
    </row>
    <row r="762" spans="27:28" x14ac:dyDescent="0.35">
      <c r="AA762" s="1">
        <v>37652</v>
      </c>
      <c r="AB762">
        <v>761</v>
      </c>
    </row>
    <row r="763" spans="27:28" x14ac:dyDescent="0.35">
      <c r="AA763" s="1">
        <v>37653</v>
      </c>
      <c r="AB763">
        <v>762</v>
      </c>
    </row>
    <row r="764" spans="27:28" x14ac:dyDescent="0.35">
      <c r="AA764" s="1">
        <v>37654</v>
      </c>
      <c r="AB764">
        <v>763</v>
      </c>
    </row>
    <row r="765" spans="27:28" x14ac:dyDescent="0.35">
      <c r="AA765" s="1">
        <v>37655</v>
      </c>
      <c r="AB765">
        <v>764</v>
      </c>
    </row>
    <row r="766" spans="27:28" x14ac:dyDescent="0.35">
      <c r="AA766" s="1">
        <v>37656</v>
      </c>
      <c r="AB766">
        <v>765</v>
      </c>
    </row>
    <row r="767" spans="27:28" x14ac:dyDescent="0.35">
      <c r="AA767" s="1">
        <v>37657</v>
      </c>
      <c r="AB767">
        <v>766</v>
      </c>
    </row>
    <row r="768" spans="27:28" x14ac:dyDescent="0.35">
      <c r="AA768" s="1">
        <v>37658</v>
      </c>
      <c r="AB768">
        <v>767</v>
      </c>
    </row>
    <row r="769" spans="27:28" x14ac:dyDescent="0.35">
      <c r="AA769" s="1">
        <v>37659</v>
      </c>
      <c r="AB769">
        <v>768</v>
      </c>
    </row>
    <row r="770" spans="27:28" x14ac:dyDescent="0.35">
      <c r="AA770" s="1">
        <v>37660</v>
      </c>
      <c r="AB770">
        <v>769</v>
      </c>
    </row>
    <row r="771" spans="27:28" x14ac:dyDescent="0.35">
      <c r="AA771" s="1">
        <v>37661</v>
      </c>
      <c r="AB771">
        <v>770</v>
      </c>
    </row>
    <row r="772" spans="27:28" x14ac:dyDescent="0.35">
      <c r="AA772" s="1">
        <v>37662</v>
      </c>
      <c r="AB772">
        <v>771</v>
      </c>
    </row>
    <row r="773" spans="27:28" x14ac:dyDescent="0.35">
      <c r="AA773" s="1">
        <v>37663</v>
      </c>
      <c r="AB773">
        <v>772</v>
      </c>
    </row>
    <row r="774" spans="27:28" x14ac:dyDescent="0.35">
      <c r="AA774" s="1">
        <v>37664</v>
      </c>
      <c r="AB774">
        <v>773</v>
      </c>
    </row>
    <row r="775" spans="27:28" x14ac:dyDescent="0.35">
      <c r="AA775" s="1">
        <v>37665</v>
      </c>
      <c r="AB775">
        <v>774</v>
      </c>
    </row>
    <row r="776" spans="27:28" x14ac:dyDescent="0.35">
      <c r="AA776" s="1">
        <v>37666</v>
      </c>
      <c r="AB776">
        <v>775</v>
      </c>
    </row>
    <row r="777" spans="27:28" x14ac:dyDescent="0.35">
      <c r="AA777" s="1">
        <v>37667</v>
      </c>
      <c r="AB777">
        <v>776</v>
      </c>
    </row>
    <row r="778" spans="27:28" x14ac:dyDescent="0.35">
      <c r="AA778" s="1">
        <v>37668</v>
      </c>
      <c r="AB778">
        <v>777</v>
      </c>
    </row>
    <row r="779" spans="27:28" x14ac:dyDescent="0.35">
      <c r="AA779" s="1">
        <v>37669</v>
      </c>
      <c r="AB779">
        <v>778</v>
      </c>
    </row>
    <row r="780" spans="27:28" x14ac:dyDescent="0.35">
      <c r="AA780" s="1">
        <v>37670</v>
      </c>
      <c r="AB780">
        <v>779</v>
      </c>
    </row>
    <row r="781" spans="27:28" x14ac:dyDescent="0.35">
      <c r="AA781" s="1">
        <v>37671</v>
      </c>
      <c r="AB781">
        <v>780</v>
      </c>
    </row>
    <row r="782" spans="27:28" x14ac:dyDescent="0.35">
      <c r="AA782" s="1">
        <v>37672</v>
      </c>
      <c r="AB782">
        <v>781</v>
      </c>
    </row>
    <row r="783" spans="27:28" x14ac:dyDescent="0.35">
      <c r="AA783" s="1">
        <v>37673</v>
      </c>
      <c r="AB783">
        <v>782</v>
      </c>
    </row>
    <row r="784" spans="27:28" x14ac:dyDescent="0.35">
      <c r="AA784" s="1">
        <v>37674</v>
      </c>
      <c r="AB784">
        <v>783</v>
      </c>
    </row>
    <row r="785" spans="27:28" x14ac:dyDescent="0.35">
      <c r="AA785" s="1">
        <v>37675</v>
      </c>
      <c r="AB785">
        <v>784</v>
      </c>
    </row>
    <row r="786" spans="27:28" x14ac:dyDescent="0.35">
      <c r="AA786" s="1">
        <v>37676</v>
      </c>
      <c r="AB786">
        <v>785</v>
      </c>
    </row>
    <row r="787" spans="27:28" x14ac:dyDescent="0.35">
      <c r="AA787" s="1">
        <v>37677</v>
      </c>
      <c r="AB787">
        <v>786</v>
      </c>
    </row>
    <row r="788" spans="27:28" x14ac:dyDescent="0.35">
      <c r="AA788" s="1">
        <v>37678</v>
      </c>
      <c r="AB788">
        <v>787</v>
      </c>
    </row>
    <row r="789" spans="27:28" x14ac:dyDescent="0.35">
      <c r="AA789" s="1">
        <v>37679</v>
      </c>
      <c r="AB789">
        <v>788</v>
      </c>
    </row>
    <row r="790" spans="27:28" x14ac:dyDescent="0.35">
      <c r="AA790" s="1">
        <v>37680</v>
      </c>
      <c r="AB790">
        <v>789</v>
      </c>
    </row>
    <row r="791" spans="27:28" x14ac:dyDescent="0.35">
      <c r="AA791" s="1">
        <v>37681</v>
      </c>
      <c r="AB791">
        <v>790</v>
      </c>
    </row>
    <row r="792" spans="27:28" x14ac:dyDescent="0.35">
      <c r="AA792" s="1">
        <v>37682</v>
      </c>
      <c r="AB792">
        <v>791</v>
      </c>
    </row>
    <row r="793" spans="27:28" x14ac:dyDescent="0.35">
      <c r="AA793" s="1">
        <v>37683</v>
      </c>
      <c r="AB793">
        <v>792</v>
      </c>
    </row>
    <row r="794" spans="27:28" x14ac:dyDescent="0.35">
      <c r="AA794" s="1">
        <v>37684</v>
      </c>
      <c r="AB794">
        <v>793</v>
      </c>
    </row>
    <row r="795" spans="27:28" x14ac:dyDescent="0.35">
      <c r="AA795" s="1">
        <v>37685</v>
      </c>
      <c r="AB795">
        <v>794</v>
      </c>
    </row>
    <row r="796" spans="27:28" x14ac:dyDescent="0.35">
      <c r="AA796" s="1">
        <v>37686</v>
      </c>
      <c r="AB796">
        <v>795</v>
      </c>
    </row>
    <row r="797" spans="27:28" x14ac:dyDescent="0.35">
      <c r="AA797" s="1">
        <v>37687</v>
      </c>
      <c r="AB797">
        <v>796</v>
      </c>
    </row>
    <row r="798" spans="27:28" x14ac:dyDescent="0.35">
      <c r="AA798" s="1">
        <v>37688</v>
      </c>
      <c r="AB798">
        <v>797</v>
      </c>
    </row>
    <row r="799" spans="27:28" x14ac:dyDescent="0.35">
      <c r="AA799" s="1">
        <v>37689</v>
      </c>
      <c r="AB799">
        <v>798</v>
      </c>
    </row>
    <row r="800" spans="27:28" x14ac:dyDescent="0.35">
      <c r="AA800" s="1">
        <v>37690</v>
      </c>
      <c r="AB800">
        <v>799</v>
      </c>
    </row>
    <row r="801" spans="27:28" x14ac:dyDescent="0.35">
      <c r="AA801" s="1">
        <v>37691</v>
      </c>
      <c r="AB801">
        <v>800</v>
      </c>
    </row>
    <row r="802" spans="27:28" x14ac:dyDescent="0.35">
      <c r="AA802" s="1">
        <v>37692</v>
      </c>
      <c r="AB802">
        <v>801</v>
      </c>
    </row>
    <row r="803" spans="27:28" x14ac:dyDescent="0.35">
      <c r="AA803" s="1">
        <v>37693</v>
      </c>
      <c r="AB803">
        <v>802</v>
      </c>
    </row>
    <row r="804" spans="27:28" x14ac:dyDescent="0.35">
      <c r="AA804" s="1">
        <v>37694</v>
      </c>
      <c r="AB804">
        <v>803</v>
      </c>
    </row>
    <row r="805" spans="27:28" x14ac:dyDescent="0.35">
      <c r="AA805" s="1">
        <v>37695</v>
      </c>
      <c r="AB805">
        <v>804</v>
      </c>
    </row>
    <row r="806" spans="27:28" x14ac:dyDescent="0.35">
      <c r="AA806" s="1">
        <v>37696</v>
      </c>
      <c r="AB806">
        <v>805</v>
      </c>
    </row>
    <row r="807" spans="27:28" x14ac:dyDescent="0.35">
      <c r="AA807" s="1">
        <v>37697</v>
      </c>
      <c r="AB807">
        <v>806</v>
      </c>
    </row>
    <row r="808" spans="27:28" x14ac:dyDescent="0.35">
      <c r="AA808" s="1">
        <v>37698</v>
      </c>
      <c r="AB808">
        <v>807</v>
      </c>
    </row>
    <row r="809" spans="27:28" x14ac:dyDescent="0.35">
      <c r="AA809" s="1">
        <v>37699</v>
      </c>
      <c r="AB809">
        <v>808</v>
      </c>
    </row>
    <row r="810" spans="27:28" x14ac:dyDescent="0.35">
      <c r="AA810" s="1">
        <v>37700</v>
      </c>
      <c r="AB810">
        <v>809</v>
      </c>
    </row>
    <row r="811" spans="27:28" x14ac:dyDescent="0.35">
      <c r="AA811" s="1">
        <v>37701</v>
      </c>
      <c r="AB811">
        <v>810</v>
      </c>
    </row>
    <row r="812" spans="27:28" x14ac:dyDescent="0.35">
      <c r="AA812" s="1">
        <v>37702</v>
      </c>
      <c r="AB812">
        <v>811</v>
      </c>
    </row>
    <row r="813" spans="27:28" x14ac:dyDescent="0.35">
      <c r="AA813" s="1">
        <v>37703</v>
      </c>
      <c r="AB813">
        <v>812</v>
      </c>
    </row>
    <row r="814" spans="27:28" x14ac:dyDescent="0.35">
      <c r="AA814" s="1">
        <v>37704</v>
      </c>
      <c r="AB814">
        <v>813</v>
      </c>
    </row>
    <row r="815" spans="27:28" x14ac:dyDescent="0.35">
      <c r="AA815" s="1">
        <v>37705</v>
      </c>
      <c r="AB815">
        <v>814</v>
      </c>
    </row>
    <row r="816" spans="27:28" x14ac:dyDescent="0.35">
      <c r="AA816" s="1">
        <v>37706</v>
      </c>
      <c r="AB816">
        <v>815</v>
      </c>
    </row>
    <row r="817" spans="27:28" x14ac:dyDescent="0.35">
      <c r="AA817" s="1">
        <v>37707</v>
      </c>
      <c r="AB817">
        <v>816</v>
      </c>
    </row>
    <row r="818" spans="27:28" x14ac:dyDescent="0.35">
      <c r="AA818" s="1">
        <v>37708</v>
      </c>
      <c r="AB818">
        <v>817</v>
      </c>
    </row>
    <row r="819" spans="27:28" x14ac:dyDescent="0.35">
      <c r="AA819" s="1">
        <v>37709</v>
      </c>
      <c r="AB819">
        <v>818</v>
      </c>
    </row>
    <row r="820" spans="27:28" x14ac:dyDescent="0.35">
      <c r="AA820" s="1">
        <v>37710</v>
      </c>
      <c r="AB820">
        <v>819</v>
      </c>
    </row>
    <row r="821" spans="27:28" x14ac:dyDescent="0.35">
      <c r="AA821" s="1">
        <v>37711</v>
      </c>
      <c r="AB821">
        <v>820</v>
      </c>
    </row>
    <row r="822" spans="27:28" x14ac:dyDescent="0.35">
      <c r="AA822" s="1">
        <v>37712</v>
      </c>
      <c r="AB822">
        <v>821</v>
      </c>
    </row>
    <row r="823" spans="27:28" x14ac:dyDescent="0.35">
      <c r="AA823" s="1">
        <v>37713</v>
      </c>
      <c r="AB823">
        <v>822</v>
      </c>
    </row>
    <row r="824" spans="27:28" x14ac:dyDescent="0.35">
      <c r="AA824" s="1">
        <v>37714</v>
      </c>
      <c r="AB824">
        <v>823</v>
      </c>
    </row>
    <row r="825" spans="27:28" x14ac:dyDescent="0.35">
      <c r="AA825" s="1">
        <v>37715</v>
      </c>
      <c r="AB825">
        <v>824</v>
      </c>
    </row>
    <row r="826" spans="27:28" x14ac:dyDescent="0.35">
      <c r="AA826" s="1">
        <v>37716</v>
      </c>
      <c r="AB826">
        <v>825</v>
      </c>
    </row>
    <row r="827" spans="27:28" x14ac:dyDescent="0.35">
      <c r="AA827" s="1">
        <v>37717</v>
      </c>
      <c r="AB827">
        <v>826</v>
      </c>
    </row>
    <row r="828" spans="27:28" x14ac:dyDescent="0.35">
      <c r="AA828" s="1">
        <v>37718</v>
      </c>
      <c r="AB828">
        <v>827</v>
      </c>
    </row>
    <row r="829" spans="27:28" x14ac:dyDescent="0.35">
      <c r="AA829" s="1">
        <v>37719</v>
      </c>
      <c r="AB829">
        <v>828</v>
      </c>
    </row>
    <row r="830" spans="27:28" x14ac:dyDescent="0.35">
      <c r="AA830" s="1">
        <v>37720</v>
      </c>
      <c r="AB830">
        <v>829</v>
      </c>
    </row>
    <row r="831" spans="27:28" x14ac:dyDescent="0.35">
      <c r="AA831" s="1">
        <v>37721</v>
      </c>
      <c r="AB831">
        <v>830</v>
      </c>
    </row>
    <row r="832" spans="27:28" x14ac:dyDescent="0.35">
      <c r="AA832" s="1">
        <v>37722</v>
      </c>
      <c r="AB832">
        <v>831</v>
      </c>
    </row>
    <row r="833" spans="27:28" x14ac:dyDescent="0.35">
      <c r="AA833" s="1">
        <v>37723</v>
      </c>
      <c r="AB833">
        <v>832</v>
      </c>
    </row>
    <row r="834" spans="27:28" x14ac:dyDescent="0.35">
      <c r="AA834" s="1">
        <v>37724</v>
      </c>
      <c r="AB834">
        <v>833</v>
      </c>
    </row>
    <row r="835" spans="27:28" x14ac:dyDescent="0.35">
      <c r="AA835" s="1">
        <v>37725</v>
      </c>
      <c r="AB835">
        <v>834</v>
      </c>
    </row>
    <row r="836" spans="27:28" x14ac:dyDescent="0.35">
      <c r="AA836" s="1">
        <v>37726</v>
      </c>
      <c r="AB836">
        <v>835</v>
      </c>
    </row>
    <row r="837" spans="27:28" x14ac:dyDescent="0.35">
      <c r="AA837" s="1">
        <v>37727</v>
      </c>
      <c r="AB837">
        <v>836</v>
      </c>
    </row>
    <row r="838" spans="27:28" x14ac:dyDescent="0.35">
      <c r="AA838" s="1">
        <v>37728</v>
      </c>
      <c r="AB838">
        <v>837</v>
      </c>
    </row>
    <row r="839" spans="27:28" x14ac:dyDescent="0.35">
      <c r="AA839" s="1">
        <v>37729</v>
      </c>
      <c r="AB839">
        <v>838</v>
      </c>
    </row>
    <row r="840" spans="27:28" x14ac:dyDescent="0.35">
      <c r="AA840" s="1">
        <v>37730</v>
      </c>
      <c r="AB840">
        <v>839</v>
      </c>
    </row>
    <row r="841" spans="27:28" x14ac:dyDescent="0.35">
      <c r="AA841" s="1">
        <v>37731</v>
      </c>
      <c r="AB841">
        <v>840</v>
      </c>
    </row>
    <row r="842" spans="27:28" x14ac:dyDescent="0.35">
      <c r="AA842" s="1">
        <v>37732</v>
      </c>
      <c r="AB842">
        <v>841</v>
      </c>
    </row>
    <row r="843" spans="27:28" x14ac:dyDescent="0.35">
      <c r="AA843" s="1">
        <v>37733</v>
      </c>
      <c r="AB843">
        <v>842</v>
      </c>
    </row>
    <row r="844" spans="27:28" x14ac:dyDescent="0.35">
      <c r="AA844" s="1">
        <v>37734</v>
      </c>
      <c r="AB844">
        <v>843</v>
      </c>
    </row>
    <row r="845" spans="27:28" x14ac:dyDescent="0.35">
      <c r="AA845" s="1">
        <v>37735</v>
      </c>
      <c r="AB845">
        <v>844</v>
      </c>
    </row>
    <row r="846" spans="27:28" x14ac:dyDescent="0.35">
      <c r="AA846" s="1">
        <v>37736</v>
      </c>
      <c r="AB846">
        <v>845</v>
      </c>
    </row>
    <row r="847" spans="27:28" x14ac:dyDescent="0.35">
      <c r="AA847" s="1">
        <v>37737</v>
      </c>
      <c r="AB847">
        <v>846</v>
      </c>
    </row>
    <row r="848" spans="27:28" x14ac:dyDescent="0.35">
      <c r="AA848" s="1">
        <v>37738</v>
      </c>
      <c r="AB848">
        <v>847</v>
      </c>
    </row>
    <row r="849" spans="27:28" x14ac:dyDescent="0.35">
      <c r="AA849" s="1">
        <v>37739</v>
      </c>
      <c r="AB849">
        <v>848</v>
      </c>
    </row>
    <row r="850" spans="27:28" x14ac:dyDescent="0.35">
      <c r="AA850" s="1">
        <v>37740</v>
      </c>
      <c r="AB850">
        <v>849</v>
      </c>
    </row>
    <row r="851" spans="27:28" x14ac:dyDescent="0.35">
      <c r="AA851" s="1">
        <v>37741</v>
      </c>
      <c r="AB851">
        <v>850</v>
      </c>
    </row>
    <row r="852" spans="27:28" x14ac:dyDescent="0.35">
      <c r="AA852" s="1">
        <v>37742</v>
      </c>
      <c r="AB852">
        <v>851</v>
      </c>
    </row>
    <row r="853" spans="27:28" x14ac:dyDescent="0.35">
      <c r="AA853" s="1">
        <v>37743</v>
      </c>
      <c r="AB853">
        <v>852</v>
      </c>
    </row>
    <row r="854" spans="27:28" x14ac:dyDescent="0.35">
      <c r="AA854" s="1">
        <v>37744</v>
      </c>
      <c r="AB854">
        <v>853</v>
      </c>
    </row>
    <row r="855" spans="27:28" x14ac:dyDescent="0.35">
      <c r="AA855" s="1">
        <v>37745</v>
      </c>
      <c r="AB855">
        <v>854</v>
      </c>
    </row>
    <row r="856" spans="27:28" x14ac:dyDescent="0.35">
      <c r="AA856" s="1">
        <v>37746</v>
      </c>
      <c r="AB856">
        <v>855</v>
      </c>
    </row>
    <row r="857" spans="27:28" x14ac:dyDescent="0.35">
      <c r="AA857" s="1">
        <v>37747</v>
      </c>
      <c r="AB857">
        <v>856</v>
      </c>
    </row>
    <row r="858" spans="27:28" x14ac:dyDescent="0.35">
      <c r="AA858" s="1">
        <v>37748</v>
      </c>
      <c r="AB858">
        <v>857</v>
      </c>
    </row>
    <row r="859" spans="27:28" x14ac:dyDescent="0.35">
      <c r="AA859" s="1">
        <v>37749</v>
      </c>
      <c r="AB859">
        <v>858</v>
      </c>
    </row>
    <row r="860" spans="27:28" x14ac:dyDescent="0.35">
      <c r="AA860" s="1">
        <v>37750</v>
      </c>
      <c r="AB860">
        <v>859</v>
      </c>
    </row>
    <row r="861" spans="27:28" x14ac:dyDescent="0.35">
      <c r="AA861" s="1">
        <v>37751</v>
      </c>
      <c r="AB861">
        <v>860</v>
      </c>
    </row>
    <row r="862" spans="27:28" x14ac:dyDescent="0.35">
      <c r="AA862" s="1">
        <v>37752</v>
      </c>
      <c r="AB862">
        <v>861</v>
      </c>
    </row>
    <row r="863" spans="27:28" x14ac:dyDescent="0.35">
      <c r="AA863" s="1">
        <v>37753</v>
      </c>
      <c r="AB863">
        <v>862</v>
      </c>
    </row>
    <row r="864" spans="27:28" x14ac:dyDescent="0.35">
      <c r="AA864" s="1">
        <v>37754</v>
      </c>
      <c r="AB864">
        <v>863</v>
      </c>
    </row>
    <row r="865" spans="27:28" x14ac:dyDescent="0.35">
      <c r="AA865" s="1">
        <v>37755</v>
      </c>
      <c r="AB865">
        <v>864</v>
      </c>
    </row>
    <row r="866" spans="27:28" x14ac:dyDescent="0.35">
      <c r="AA866" s="1">
        <v>37756</v>
      </c>
      <c r="AB866">
        <v>865</v>
      </c>
    </row>
    <row r="867" spans="27:28" x14ac:dyDescent="0.35">
      <c r="AA867" s="1">
        <v>37757</v>
      </c>
      <c r="AB867">
        <v>866</v>
      </c>
    </row>
    <row r="868" spans="27:28" x14ac:dyDescent="0.35">
      <c r="AA868" s="1">
        <v>37758</v>
      </c>
      <c r="AB868">
        <v>867</v>
      </c>
    </row>
    <row r="869" spans="27:28" x14ac:dyDescent="0.35">
      <c r="AA869" s="1">
        <v>37759</v>
      </c>
      <c r="AB869">
        <v>868</v>
      </c>
    </row>
    <row r="870" spans="27:28" x14ac:dyDescent="0.35">
      <c r="AA870" s="1">
        <v>37760</v>
      </c>
      <c r="AB870">
        <v>869</v>
      </c>
    </row>
    <row r="871" spans="27:28" x14ac:dyDescent="0.35">
      <c r="AA871" s="1">
        <v>37761</v>
      </c>
      <c r="AB871">
        <v>870</v>
      </c>
    </row>
    <row r="872" spans="27:28" x14ac:dyDescent="0.35">
      <c r="AA872" s="1">
        <v>37762</v>
      </c>
      <c r="AB872">
        <v>871</v>
      </c>
    </row>
    <row r="873" spans="27:28" x14ac:dyDescent="0.35">
      <c r="AA873" s="1">
        <v>37763</v>
      </c>
      <c r="AB873">
        <v>872</v>
      </c>
    </row>
    <row r="874" spans="27:28" x14ac:dyDescent="0.35">
      <c r="AA874" s="1">
        <v>37764</v>
      </c>
      <c r="AB874">
        <v>873</v>
      </c>
    </row>
    <row r="875" spans="27:28" x14ac:dyDescent="0.35">
      <c r="AA875" s="1">
        <v>37765</v>
      </c>
      <c r="AB875">
        <v>874</v>
      </c>
    </row>
    <row r="876" spans="27:28" x14ac:dyDescent="0.35">
      <c r="AA876" s="1">
        <v>37766</v>
      </c>
      <c r="AB876">
        <v>875</v>
      </c>
    </row>
    <row r="877" spans="27:28" x14ac:dyDescent="0.35">
      <c r="AA877" s="1">
        <v>37767</v>
      </c>
      <c r="AB877">
        <v>876</v>
      </c>
    </row>
    <row r="878" spans="27:28" x14ac:dyDescent="0.35">
      <c r="AA878" s="1">
        <v>37768</v>
      </c>
      <c r="AB878">
        <v>877</v>
      </c>
    </row>
    <row r="879" spans="27:28" x14ac:dyDescent="0.35">
      <c r="AA879" s="1">
        <v>37769</v>
      </c>
      <c r="AB879">
        <v>878</v>
      </c>
    </row>
    <row r="880" spans="27:28" x14ac:dyDescent="0.35">
      <c r="AA880" s="1">
        <v>37770</v>
      </c>
      <c r="AB880">
        <v>879</v>
      </c>
    </row>
    <row r="881" spans="27:28" x14ac:dyDescent="0.35">
      <c r="AA881" s="1">
        <v>37771</v>
      </c>
      <c r="AB881">
        <v>880</v>
      </c>
    </row>
    <row r="882" spans="27:28" x14ac:dyDescent="0.35">
      <c r="AA882" s="1">
        <v>37772</v>
      </c>
      <c r="AB882">
        <v>881</v>
      </c>
    </row>
    <row r="883" spans="27:28" x14ac:dyDescent="0.35">
      <c r="AA883" s="1">
        <v>37773</v>
      </c>
      <c r="AB883">
        <v>882</v>
      </c>
    </row>
    <row r="884" spans="27:28" x14ac:dyDescent="0.35">
      <c r="AA884" s="1">
        <v>37774</v>
      </c>
      <c r="AB884">
        <v>883</v>
      </c>
    </row>
    <row r="885" spans="27:28" x14ac:dyDescent="0.35">
      <c r="AA885" s="1">
        <v>37775</v>
      </c>
      <c r="AB885">
        <v>884</v>
      </c>
    </row>
    <row r="886" spans="27:28" x14ac:dyDescent="0.35">
      <c r="AA886" s="1">
        <v>37776</v>
      </c>
      <c r="AB886">
        <v>885</v>
      </c>
    </row>
    <row r="887" spans="27:28" x14ac:dyDescent="0.35">
      <c r="AA887" s="1">
        <v>37777</v>
      </c>
      <c r="AB887">
        <v>886</v>
      </c>
    </row>
    <row r="888" spans="27:28" x14ac:dyDescent="0.35">
      <c r="AA888" s="1">
        <v>37778</v>
      </c>
      <c r="AB888">
        <v>887</v>
      </c>
    </row>
    <row r="889" spans="27:28" x14ac:dyDescent="0.35">
      <c r="AA889" s="1">
        <v>37779</v>
      </c>
      <c r="AB889">
        <v>888</v>
      </c>
    </row>
    <row r="890" spans="27:28" x14ac:dyDescent="0.35">
      <c r="AA890" s="1">
        <v>37780</v>
      </c>
      <c r="AB890">
        <v>889</v>
      </c>
    </row>
    <row r="891" spans="27:28" x14ac:dyDescent="0.35">
      <c r="AA891" s="1">
        <v>37781</v>
      </c>
      <c r="AB891">
        <v>890</v>
      </c>
    </row>
    <row r="892" spans="27:28" x14ac:dyDescent="0.35">
      <c r="AA892" s="1">
        <v>37782</v>
      </c>
      <c r="AB892">
        <v>891</v>
      </c>
    </row>
    <row r="893" spans="27:28" x14ac:dyDescent="0.35">
      <c r="AA893" s="1">
        <v>37783</v>
      </c>
      <c r="AB893">
        <v>892</v>
      </c>
    </row>
    <row r="894" spans="27:28" x14ac:dyDescent="0.35">
      <c r="AA894" s="1">
        <v>37784</v>
      </c>
      <c r="AB894">
        <v>893</v>
      </c>
    </row>
    <row r="895" spans="27:28" x14ac:dyDescent="0.35">
      <c r="AA895" s="1">
        <v>37785</v>
      </c>
      <c r="AB895">
        <v>894</v>
      </c>
    </row>
    <row r="896" spans="27:28" x14ac:dyDescent="0.35">
      <c r="AA896" s="1">
        <v>37786</v>
      </c>
      <c r="AB896">
        <v>895</v>
      </c>
    </row>
    <row r="897" spans="27:28" x14ac:dyDescent="0.35">
      <c r="AA897" s="1">
        <v>37787</v>
      </c>
      <c r="AB897">
        <v>896</v>
      </c>
    </row>
    <row r="898" spans="27:28" x14ac:dyDescent="0.35">
      <c r="AA898" s="1">
        <v>37788</v>
      </c>
      <c r="AB898">
        <v>897</v>
      </c>
    </row>
    <row r="899" spans="27:28" x14ac:dyDescent="0.35">
      <c r="AA899" s="1">
        <v>37789</v>
      </c>
      <c r="AB899">
        <v>898</v>
      </c>
    </row>
    <row r="900" spans="27:28" x14ac:dyDescent="0.35">
      <c r="AA900" s="1">
        <v>37790</v>
      </c>
      <c r="AB900">
        <v>899</v>
      </c>
    </row>
    <row r="901" spans="27:28" x14ac:dyDescent="0.35">
      <c r="AA901" s="1">
        <v>37791</v>
      </c>
      <c r="AB901">
        <v>900</v>
      </c>
    </row>
    <row r="902" spans="27:28" x14ac:dyDescent="0.35">
      <c r="AA902" s="1">
        <v>37792</v>
      </c>
      <c r="AB902">
        <v>901</v>
      </c>
    </row>
    <row r="903" spans="27:28" x14ac:dyDescent="0.35">
      <c r="AA903" s="1">
        <v>37793</v>
      </c>
      <c r="AB903">
        <v>902</v>
      </c>
    </row>
    <row r="904" spans="27:28" x14ac:dyDescent="0.35">
      <c r="AA904" s="1">
        <v>37794</v>
      </c>
      <c r="AB904">
        <v>903</v>
      </c>
    </row>
    <row r="905" spans="27:28" x14ac:dyDescent="0.35">
      <c r="AA905" s="1">
        <v>37795</v>
      </c>
      <c r="AB905">
        <v>904</v>
      </c>
    </row>
    <row r="906" spans="27:28" x14ac:dyDescent="0.35">
      <c r="AA906" s="1">
        <v>37796</v>
      </c>
      <c r="AB906">
        <v>905</v>
      </c>
    </row>
    <row r="907" spans="27:28" x14ac:dyDescent="0.35">
      <c r="AA907" s="1">
        <v>37797</v>
      </c>
      <c r="AB907">
        <v>906</v>
      </c>
    </row>
    <row r="908" spans="27:28" x14ac:dyDescent="0.35">
      <c r="AA908" s="1">
        <v>37798</v>
      </c>
      <c r="AB908">
        <v>907</v>
      </c>
    </row>
    <row r="909" spans="27:28" x14ac:dyDescent="0.35">
      <c r="AA909" s="1">
        <v>37799</v>
      </c>
      <c r="AB909">
        <v>908</v>
      </c>
    </row>
    <row r="910" spans="27:28" x14ac:dyDescent="0.35">
      <c r="AA910" s="1">
        <v>37800</v>
      </c>
      <c r="AB910">
        <v>909</v>
      </c>
    </row>
    <row r="911" spans="27:28" x14ac:dyDescent="0.35">
      <c r="AA911" s="1">
        <v>37801</v>
      </c>
      <c r="AB911">
        <v>910</v>
      </c>
    </row>
    <row r="912" spans="27:28" x14ac:dyDescent="0.35">
      <c r="AA912" s="1">
        <v>37802</v>
      </c>
      <c r="AB912">
        <v>911</v>
      </c>
    </row>
  </sheetData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H43"/>
  <sheetViews>
    <sheetView topLeftCell="A32" workbookViewId="0">
      <selection activeCell="C2" sqref="C2"/>
    </sheetView>
  </sheetViews>
  <sheetFormatPr defaultColWidth="11.453125" defaultRowHeight="14.5" x14ac:dyDescent="0.35"/>
  <cols>
    <col min="1" max="1" width="12.7265625" bestFit="1" customWidth="1"/>
    <col min="6" max="7" width="12" bestFit="1" customWidth="1"/>
  </cols>
  <sheetData>
    <row r="1" spans="1:8" x14ac:dyDescent="0.35">
      <c r="A1" s="6"/>
      <c r="B1" t="s">
        <v>39</v>
      </c>
      <c r="C1" t="s">
        <v>33</v>
      </c>
      <c r="D1" t="s">
        <v>34</v>
      </c>
      <c r="E1" t="s">
        <v>35</v>
      </c>
      <c r="F1" t="s">
        <v>36</v>
      </c>
      <c r="G1" t="s">
        <v>37</v>
      </c>
      <c r="H1" t="s">
        <v>38</v>
      </c>
    </row>
    <row r="2" spans="1:8" x14ac:dyDescent="0.35">
      <c r="A2" s="6">
        <v>36911.65625</v>
      </c>
      <c r="B2">
        <v>0</v>
      </c>
      <c r="C2">
        <v>0.14345000000000002</v>
      </c>
      <c r="D2">
        <v>5.3564000000000001E-2</v>
      </c>
      <c r="E2">
        <v>9.8507000000000011E-2</v>
      </c>
      <c r="F2">
        <v>144525875.00000003</v>
      </c>
      <c r="G2">
        <v>77989184</v>
      </c>
      <c r="H2">
        <v>111257529.50000001</v>
      </c>
    </row>
    <row r="3" spans="1:8" x14ac:dyDescent="0.35">
      <c r="A3" s="6">
        <v>36915.638888888891</v>
      </c>
      <c r="B3">
        <v>344100.0000001397</v>
      </c>
      <c r="C3">
        <v>49361.288450020053</v>
      </c>
      <c r="D3">
        <v>18431.425964007485</v>
      </c>
      <c r="E3">
        <v>33896.357207013767</v>
      </c>
      <c r="F3">
        <v>49731498113395.203</v>
      </c>
      <c r="G3">
        <v>26836156203594.895</v>
      </c>
      <c r="H3">
        <v>38283827158495.047</v>
      </c>
    </row>
    <row r="4" spans="1:8" x14ac:dyDescent="0.35">
      <c r="A4" s="6">
        <v>36918.659722222219</v>
      </c>
      <c r="B4">
        <v>260999.9999995809</v>
      </c>
      <c r="C4">
        <v>80694.338449969742</v>
      </c>
      <c r="D4">
        <v>30185.821963988612</v>
      </c>
      <c r="E4">
        <v>55440.080206979175</v>
      </c>
      <c r="F4">
        <v>81299545988344.516</v>
      </c>
      <c r="G4">
        <v>43950556779567.422</v>
      </c>
      <c r="H4">
        <v>62625051383955.969</v>
      </c>
    </row>
    <row r="5" spans="1:8" x14ac:dyDescent="0.35">
      <c r="A5" s="6">
        <v>36938.131944444445</v>
      </c>
      <c r="B5">
        <v>1682400.0000003492</v>
      </c>
      <c r="C5">
        <v>2693966.2584505128</v>
      </c>
      <c r="D5">
        <v>984739.20436418673</v>
      </c>
      <c r="E5">
        <v>1839352.7314073497</v>
      </c>
      <c r="F5">
        <v>2714171005388891.5</v>
      </c>
      <c r="G5">
        <v>1433780281554256</v>
      </c>
      <c r="H5">
        <v>2073975643471573.8</v>
      </c>
    </row>
    <row r="6" spans="1:8" x14ac:dyDescent="0.35">
      <c r="A6" s="6">
        <v>36945.645833333336</v>
      </c>
      <c r="B6">
        <v>649200.0000001397</v>
      </c>
      <c r="C6">
        <v>4263861.6984508503</v>
      </c>
      <c r="D6">
        <v>1557712.7371643099</v>
      </c>
      <c r="E6">
        <v>2910787.2178075803</v>
      </c>
      <c r="F6">
        <v>4295840661189231.5</v>
      </c>
      <c r="G6">
        <v>2268029745311235.5</v>
      </c>
      <c r="H6">
        <v>3281935203250233.5</v>
      </c>
    </row>
    <row r="7" spans="1:8" x14ac:dyDescent="0.35">
      <c r="A7" s="6">
        <v>36947.638888888891</v>
      </c>
      <c r="B7">
        <v>172199.99999993015</v>
      </c>
      <c r="C7">
        <v>4789769.1084506372</v>
      </c>
      <c r="D7">
        <v>1749597.9523642322</v>
      </c>
      <c r="E7">
        <v>3269683.5304074348</v>
      </c>
      <c r="F7">
        <v>4825692376764016</v>
      </c>
      <c r="G7">
        <v>2547414618642322</v>
      </c>
      <c r="H7">
        <v>3686553497703169</v>
      </c>
    </row>
    <row r="8" spans="1:8" x14ac:dyDescent="0.35">
      <c r="A8" s="6">
        <v>36950.149305555555</v>
      </c>
      <c r="B8">
        <v>216899.99999979045</v>
      </c>
      <c r="C8">
        <v>5788636.9884496722</v>
      </c>
      <c r="D8">
        <v>2113908.3979638801</v>
      </c>
      <c r="E8">
        <v>3951272.6932067759</v>
      </c>
      <c r="F8">
        <v>5832051765863044</v>
      </c>
      <c r="G8">
        <v>3077850627435409.5</v>
      </c>
      <c r="H8">
        <v>4454951196649227</v>
      </c>
    </row>
    <row r="9" spans="1:8" x14ac:dyDescent="0.35">
      <c r="A9" s="6">
        <v>36952.138888888891</v>
      </c>
      <c r="B9">
        <v>171900.00000020955</v>
      </c>
      <c r="C9">
        <v>6034918.1184499729</v>
      </c>
      <c r="D9">
        <v>2203884.9835639899</v>
      </c>
      <c r="E9">
        <v>4119401.5510069812</v>
      </c>
      <c r="F9">
        <v>6080180004338346</v>
      </c>
      <c r="G9">
        <v>3208856536069169</v>
      </c>
      <c r="H9">
        <v>4644518270203758</v>
      </c>
    </row>
    <row r="10" spans="1:8" x14ac:dyDescent="0.35">
      <c r="A10" s="6">
        <v>36959.142361111109</v>
      </c>
      <c r="B10">
        <v>605099.9999997206</v>
      </c>
      <c r="C10">
        <v>7193472.8334494382</v>
      </c>
      <c r="D10">
        <v>2626891.0303637944</v>
      </c>
      <c r="E10">
        <v>4910181.9319066163</v>
      </c>
      <c r="F10">
        <v>7247423879700307</v>
      </c>
      <c r="G10">
        <v>3824753340209684.5</v>
      </c>
      <c r="H10">
        <v>5536088609954996</v>
      </c>
    </row>
    <row r="11" spans="1:8" x14ac:dyDescent="0.35">
      <c r="A11" s="6">
        <v>36959.65625</v>
      </c>
      <c r="B11">
        <v>44400.000000139698</v>
      </c>
      <c r="C11">
        <v>7243038.7734495942</v>
      </c>
      <c r="D11">
        <v>2645012.0911638513</v>
      </c>
      <c r="E11">
        <v>4944025.4323067227</v>
      </c>
      <c r="F11">
        <v>7297361564250464</v>
      </c>
      <c r="G11">
        <v>3851137604734567.5</v>
      </c>
      <c r="H11">
        <v>5574249584492516</v>
      </c>
    </row>
    <row r="12" spans="1:8" x14ac:dyDescent="0.35">
      <c r="A12" s="6">
        <v>36963.638888888891</v>
      </c>
      <c r="B12">
        <v>344100.0000001397</v>
      </c>
      <c r="C12">
        <v>7739282.5884497957</v>
      </c>
      <c r="D12">
        <v>2826307.3699639249</v>
      </c>
      <c r="E12">
        <v>5282794.9792068601</v>
      </c>
      <c r="F12">
        <v>7797327207863167</v>
      </c>
      <c r="G12">
        <v>4115103530667474.5</v>
      </c>
      <c r="H12">
        <v>5956215369265321</v>
      </c>
    </row>
    <row r="13" spans="1:8" x14ac:dyDescent="0.35">
      <c r="A13" s="6">
        <v>36968.138888888891</v>
      </c>
      <c r="B13">
        <v>388800</v>
      </c>
      <c r="C13">
        <v>7978588.9884497961</v>
      </c>
      <c r="D13">
        <v>2914020.6499639247</v>
      </c>
      <c r="E13">
        <v>5446304.8192068599</v>
      </c>
      <c r="F13">
        <v>8038428405863167</v>
      </c>
      <c r="G13">
        <v>4242814066347474.5</v>
      </c>
      <c r="H13">
        <v>6140621236105321</v>
      </c>
    </row>
    <row r="14" spans="1:8" x14ac:dyDescent="0.35">
      <c r="A14" s="6">
        <v>36968.649305555555</v>
      </c>
      <c r="B14">
        <v>44099.999999790452</v>
      </c>
      <c r="C14">
        <v>8037583.7634495161</v>
      </c>
      <c r="D14">
        <v>2935577.611963822</v>
      </c>
      <c r="E14">
        <v>5486580.6877066689</v>
      </c>
      <c r="F14">
        <v>8097865641675385</v>
      </c>
      <c r="G14">
        <v>4274201003019325.5</v>
      </c>
      <c r="H14">
        <v>6186033322347355</v>
      </c>
    </row>
    <row r="15" spans="1:8" x14ac:dyDescent="0.35">
      <c r="A15" s="6">
        <v>36991.65625</v>
      </c>
      <c r="B15">
        <v>1987800.0000000698</v>
      </c>
      <c r="C15">
        <v>10705708.31344961</v>
      </c>
      <c r="D15">
        <v>3910513.9999638563</v>
      </c>
      <c r="E15">
        <v>7308111.1567067336</v>
      </c>
      <c r="F15">
        <v>1.078600112580048E+16</v>
      </c>
      <c r="G15">
        <v>5693708383947376</v>
      </c>
      <c r="H15">
        <v>8239854754873928</v>
      </c>
    </row>
    <row r="16" spans="1:8" x14ac:dyDescent="0.35">
      <c r="A16" s="6">
        <v>36995.638888888891</v>
      </c>
      <c r="B16">
        <v>344100.0000001397</v>
      </c>
      <c r="C16">
        <v>11134439.708449785</v>
      </c>
      <c r="D16">
        <v>4067204.7523639197</v>
      </c>
      <c r="E16">
        <v>7600822.2304068524</v>
      </c>
      <c r="F16">
        <v>1.1217948006263156E+16</v>
      </c>
      <c r="G16">
        <v>5921850119441869</v>
      </c>
      <c r="H16">
        <v>8569899062852512</v>
      </c>
    </row>
    <row r="17" spans="1:8" x14ac:dyDescent="0.35">
      <c r="A17" s="6">
        <v>37000.649305555555</v>
      </c>
      <c r="B17">
        <v>432899.99999979045</v>
      </c>
      <c r="C17">
        <v>11543876.528449586</v>
      </c>
      <c r="D17">
        <v>4216977.7627638476</v>
      </c>
      <c r="E17">
        <v>7880427.1456067171</v>
      </c>
      <c r="F17">
        <v>1.1630455602412956E+16</v>
      </c>
      <c r="G17">
        <v>6139919622584163</v>
      </c>
      <c r="H17">
        <v>8885187612498560</v>
      </c>
    </row>
    <row r="18" spans="1:8" x14ac:dyDescent="0.35">
      <c r="A18" s="6">
        <v>37002.642361111109</v>
      </c>
      <c r="B18">
        <v>172199.99999993015</v>
      </c>
      <c r="C18">
        <v>11586556.298449568</v>
      </c>
      <c r="D18">
        <v>4232753.3491638415</v>
      </c>
      <c r="E18">
        <v>7909654.823806705</v>
      </c>
      <c r="F18">
        <v>1.1673455470687938E+16</v>
      </c>
      <c r="G18">
        <v>6162888876382554</v>
      </c>
      <c r="H18">
        <v>8918172173535246</v>
      </c>
    </row>
    <row r="19" spans="1:8" x14ac:dyDescent="0.35">
      <c r="A19" s="6">
        <v>37007.65625</v>
      </c>
      <c r="B19">
        <v>433200.0000001397</v>
      </c>
      <c r="C19">
        <v>11723945.678449612</v>
      </c>
      <c r="D19">
        <v>4283380.5667638574</v>
      </c>
      <c r="E19">
        <v>8003663.1226067347</v>
      </c>
      <c r="F19">
        <v>1.1811875271037982E+16</v>
      </c>
      <c r="G19">
        <v>6236602105208178</v>
      </c>
      <c r="H19">
        <v>9024238688123080</v>
      </c>
    </row>
    <row r="20" spans="1:8" x14ac:dyDescent="0.35">
      <c r="A20" s="6">
        <v>37009.645833333336</v>
      </c>
      <c r="B20">
        <v>171900.00000020955</v>
      </c>
      <c r="C20">
        <v>11810411.378449718</v>
      </c>
      <c r="D20">
        <v>4315113.3067638958</v>
      </c>
      <c r="E20">
        <v>8062762.3426068071</v>
      </c>
      <c r="F20">
        <v>1.1898989463788088E+16</v>
      </c>
      <c r="G20">
        <v>6282804974648234</v>
      </c>
      <c r="H20">
        <v>9090897219218160</v>
      </c>
    </row>
    <row r="21" spans="1:8" x14ac:dyDescent="0.35">
      <c r="A21" s="6">
        <v>37011.638888888891</v>
      </c>
      <c r="B21">
        <v>172199.99999993015</v>
      </c>
      <c r="C21">
        <v>12147320.67844958</v>
      </c>
      <c r="D21">
        <v>4438119.2107638456</v>
      </c>
      <c r="E21">
        <v>8292719.944606713</v>
      </c>
      <c r="F21">
        <v>1.223842558353795E+16</v>
      </c>
      <c r="G21">
        <v>6461901570872161</v>
      </c>
      <c r="H21">
        <v>9350163577205056</v>
      </c>
    </row>
    <row r="22" spans="1:8" x14ac:dyDescent="0.35">
      <c r="A22" s="6">
        <v>37016.649305555555</v>
      </c>
      <c r="B22">
        <v>432899.99999979045</v>
      </c>
      <c r="C22">
        <v>12455458.898449432</v>
      </c>
      <c r="D22">
        <v>4550974.5091637913</v>
      </c>
      <c r="E22">
        <v>8503216.7038066126</v>
      </c>
      <c r="F22">
        <v>1.25488748401878E+16</v>
      </c>
      <c r="G22">
        <v>6626218885342481</v>
      </c>
      <c r="H22">
        <v>9587546862765140</v>
      </c>
    </row>
    <row r="23" spans="1:8" x14ac:dyDescent="0.35">
      <c r="A23" s="6">
        <v>37018.642361111109</v>
      </c>
      <c r="B23">
        <v>172199.99999993015</v>
      </c>
      <c r="C23">
        <v>12543392.828449396</v>
      </c>
      <c r="D23">
        <v>4583242.7227637786</v>
      </c>
      <c r="E23">
        <v>8563317.7756065875</v>
      </c>
      <c r="F23">
        <v>1.2637468274662764E+16</v>
      </c>
      <c r="G23">
        <v>6673201404344062</v>
      </c>
      <c r="H23">
        <v>9655334839503412</v>
      </c>
    </row>
    <row r="24" spans="1:8" x14ac:dyDescent="0.35">
      <c r="A24" s="6">
        <v>37020.631944444445</v>
      </c>
      <c r="B24">
        <v>171900.00000020955</v>
      </c>
      <c r="C24">
        <v>12773893.538449677</v>
      </c>
      <c r="D24">
        <v>4667468.2219638815</v>
      </c>
      <c r="E24">
        <v>8720680.8802067786</v>
      </c>
      <c r="F24">
        <v>1.2869697739988048E+16</v>
      </c>
      <c r="G24">
        <v>6795833731179411</v>
      </c>
      <c r="H24">
        <v>9832765735583730</v>
      </c>
    </row>
    <row r="25" spans="1:8" x14ac:dyDescent="0.35">
      <c r="A25" s="6">
        <v>37021.663194444445</v>
      </c>
      <c r="B25">
        <v>89100</v>
      </c>
      <c r="C25">
        <v>12833425.703449676</v>
      </c>
      <c r="D25">
        <v>4689278.8327638814</v>
      </c>
      <c r="E25">
        <v>8761352.2681067791</v>
      </c>
      <c r="F25">
        <v>1.2929676396225548E+16</v>
      </c>
      <c r="G25">
        <v>6827589980504211</v>
      </c>
      <c r="H25">
        <v>9878633188364880</v>
      </c>
    </row>
    <row r="26" spans="1:8" x14ac:dyDescent="0.35">
      <c r="A26" s="6">
        <v>37023.142361111109</v>
      </c>
      <c r="B26">
        <v>127799.99999979045</v>
      </c>
      <c r="C26">
        <v>12873037.31344961</v>
      </c>
      <c r="D26">
        <v>4703879.2159638572</v>
      </c>
      <c r="E26">
        <v>8788458.2647067346</v>
      </c>
      <c r="F26">
        <v>1.2969585093300482E+16</v>
      </c>
      <c r="G26">
        <v>6848848138443376</v>
      </c>
      <c r="H26">
        <v>9909216615871928</v>
      </c>
    </row>
    <row r="27" spans="1:8" x14ac:dyDescent="0.35">
      <c r="A27" s="6">
        <v>37023.652777777781</v>
      </c>
      <c r="B27">
        <v>44100.000000419095</v>
      </c>
      <c r="C27">
        <v>12939473.963450242</v>
      </c>
      <c r="D27">
        <v>4728148.3279640879</v>
      </c>
      <c r="E27">
        <v>8833811.145707164</v>
      </c>
      <c r="F27">
        <v>1.3036520018176118E+16</v>
      </c>
      <c r="G27">
        <v>6884183965515712</v>
      </c>
      <c r="H27">
        <v>9960351991845916</v>
      </c>
    </row>
    <row r="28" spans="1:8" x14ac:dyDescent="0.35">
      <c r="A28" s="6">
        <v>37025.135416666664</v>
      </c>
      <c r="B28">
        <v>128099.99999951106</v>
      </c>
      <c r="C28">
        <v>13155514.613449417</v>
      </c>
      <c r="D28">
        <v>4807047.6799637871</v>
      </c>
      <c r="E28">
        <v>8981281.1467066016</v>
      </c>
      <c r="F28">
        <v>1.3254180973050288E+16</v>
      </c>
      <c r="G28">
        <v>6999061422027274</v>
      </c>
      <c r="H28">
        <v>1.012662119753878E+16</v>
      </c>
    </row>
    <row r="29" spans="1:8" x14ac:dyDescent="0.35">
      <c r="A29" s="6">
        <v>37025.645833333336</v>
      </c>
      <c r="B29">
        <v>44100.000000419095</v>
      </c>
      <c r="C29">
        <v>13261720.643450426</v>
      </c>
      <c r="D29">
        <v>4845810.5215641558</v>
      </c>
      <c r="E29">
        <v>9053765.5825072899</v>
      </c>
      <c r="F29">
        <v>1.3361183548276304E+16</v>
      </c>
      <c r="G29">
        <v>7055500119397410</v>
      </c>
      <c r="H29">
        <v>1.0208341833836856E+16</v>
      </c>
    </row>
    <row r="30" spans="1:8" x14ac:dyDescent="0.35">
      <c r="A30" s="6">
        <v>37027.638888888891</v>
      </c>
      <c r="B30">
        <v>172199.99999993015</v>
      </c>
      <c r="C30">
        <v>13518040.343450323</v>
      </c>
      <c r="D30">
        <v>4939445.9935641177</v>
      </c>
      <c r="E30">
        <v>9228743.1685072202</v>
      </c>
      <c r="F30">
        <v>1.36194256460262E+16</v>
      </c>
      <c r="G30">
        <v>7191833366629355</v>
      </c>
      <c r="H30">
        <v>1.0405629506327778E+16</v>
      </c>
    </row>
    <row r="31" spans="1:8" x14ac:dyDescent="0.35">
      <c r="A31" s="6">
        <v>37032.649305555555</v>
      </c>
      <c r="B31">
        <v>432899.99999979045</v>
      </c>
      <c r="C31">
        <v>13827152.588450173</v>
      </c>
      <c r="D31">
        <v>5052656.2699640626</v>
      </c>
      <c r="E31">
        <v>9439904.4292071182</v>
      </c>
      <c r="F31">
        <v>1.393085623286355E+16</v>
      </c>
      <c r="G31">
        <v>7356667529067675</v>
      </c>
      <c r="H31">
        <v>1.0643761880965612E+16</v>
      </c>
    </row>
    <row r="32" spans="1:8" x14ac:dyDescent="0.35">
      <c r="A32" s="6">
        <v>37034.642361111109</v>
      </c>
      <c r="B32">
        <v>172199.99999993015</v>
      </c>
      <c r="C32">
        <v>14179792.358450029</v>
      </c>
      <c r="D32">
        <v>5181395.0563640101</v>
      </c>
      <c r="E32">
        <v>9680593.70740702</v>
      </c>
      <c r="F32">
        <v>1.4286140801138406E+16</v>
      </c>
      <c r="G32">
        <v>7544111202065999</v>
      </c>
      <c r="H32">
        <v>1.0915126001602202E+16</v>
      </c>
    </row>
    <row r="33" spans="1:8" x14ac:dyDescent="0.35">
      <c r="A33" s="6">
        <v>37037.663194444445</v>
      </c>
      <c r="B33">
        <v>261000.00000020955</v>
      </c>
      <c r="C33">
        <v>14780405.558450511</v>
      </c>
      <c r="D33">
        <v>5400620.4403641857</v>
      </c>
      <c r="E33">
        <v>10090512.999407347</v>
      </c>
      <c r="F33">
        <v>1.4891258600138892E+16</v>
      </c>
      <c r="G33">
        <v>7863303361170255</v>
      </c>
      <c r="H33">
        <v>1.1377280980654574E+16</v>
      </c>
    </row>
    <row r="34" spans="1:8" x14ac:dyDescent="0.35">
      <c r="A34" s="6">
        <v>37039.652777777781</v>
      </c>
      <c r="B34">
        <v>171900.00000020955</v>
      </c>
      <c r="C34">
        <v>15082923.773450879</v>
      </c>
      <c r="D34">
        <v>5511092.3191643208</v>
      </c>
      <c r="E34">
        <v>10297008.046307601</v>
      </c>
      <c r="F34">
        <v>1.5196045701751764E+16</v>
      </c>
      <c r="G34">
        <v>8024150416703251</v>
      </c>
      <c r="H34">
        <v>1.1610098059227508E+16</v>
      </c>
    </row>
    <row r="35" spans="1:8" x14ac:dyDescent="0.35">
      <c r="A35" s="6">
        <v>37041.645833333336</v>
      </c>
      <c r="B35">
        <v>172199.99999993015</v>
      </c>
      <c r="C35">
        <v>15493681.043450713</v>
      </c>
      <c r="D35">
        <v>5661011.7055642605</v>
      </c>
      <c r="E35">
        <v>10577346.374507487</v>
      </c>
      <c r="F35">
        <v>1.5609883651276596E+16</v>
      </c>
      <c r="G35">
        <v>8242433043301562</v>
      </c>
      <c r="H35">
        <v>1.192615834728908E+16</v>
      </c>
    </row>
    <row r="36" spans="1:8" x14ac:dyDescent="0.35">
      <c r="A36" s="6">
        <v>37048.649305555555</v>
      </c>
      <c r="B36">
        <v>605099.9999997206</v>
      </c>
      <c r="C36">
        <v>17253190.823449902</v>
      </c>
      <c r="D36">
        <v>6303032.4871639647</v>
      </c>
      <c r="E36">
        <v>11778111.655306933</v>
      </c>
      <c r="F36">
        <v>1.7382589754625778E+16</v>
      </c>
      <c r="G36">
        <v>9177215301310730</v>
      </c>
      <c r="H36">
        <v>1.3279902527968254E+16</v>
      </c>
    </row>
    <row r="37" spans="1:8" x14ac:dyDescent="0.35">
      <c r="A37" s="6">
        <v>37053.663194444445</v>
      </c>
      <c r="B37">
        <v>433200.0000001397</v>
      </c>
      <c r="C37">
        <v>17468556.203449972</v>
      </c>
      <c r="D37">
        <v>6382077.6247639898</v>
      </c>
      <c r="E37">
        <v>11925316.91410698</v>
      </c>
      <c r="F37">
        <v>1.7599570374975848E+16</v>
      </c>
      <c r="G37">
        <v>9292305021656368</v>
      </c>
      <c r="H37">
        <v>1.3445937698316108E+16</v>
      </c>
    </row>
    <row r="38" spans="1:8" x14ac:dyDescent="0.35">
      <c r="A38" s="6">
        <v>37055.652777777781</v>
      </c>
      <c r="B38">
        <v>171900.00000020955</v>
      </c>
      <c r="C38">
        <v>17564536.56845009</v>
      </c>
      <c r="D38">
        <v>6417277.931564033</v>
      </c>
      <c r="E38">
        <v>11990907.250007061</v>
      </c>
      <c r="F38">
        <v>1.7696270592713466E+16</v>
      </c>
      <c r="G38">
        <v>9343556668357230</v>
      </c>
      <c r="H38">
        <v>1.3519913630535348E+16</v>
      </c>
    </row>
    <row r="39" spans="1:8" x14ac:dyDescent="0.35">
      <c r="A39" s="6">
        <v>37078.65625</v>
      </c>
      <c r="B39">
        <v>1987499.9999997206</v>
      </c>
      <c r="C39">
        <v>19385285.318449832</v>
      </c>
      <c r="D39">
        <v>7083392.5315639395</v>
      </c>
      <c r="E39">
        <v>13234338.925006885</v>
      </c>
      <c r="F39">
        <v>1.9530674958338208E+16</v>
      </c>
      <c r="G39">
        <v>1.0313419525957094E+16</v>
      </c>
      <c r="H39">
        <v>1.4922047242147652E+16</v>
      </c>
    </row>
    <row r="41" spans="1:8" x14ac:dyDescent="0.35">
      <c r="C41" s="7">
        <f>C35-E35</f>
        <v>4916334.6689432263</v>
      </c>
      <c r="D41" s="7">
        <f>E35-D35</f>
        <v>4916334.6689432263</v>
      </c>
      <c r="E41" s="7">
        <v>10577346.3745075</v>
      </c>
      <c r="F41" s="7">
        <f>F35-H35</f>
        <v>3683725303987516</v>
      </c>
      <c r="G41" s="7">
        <f>H35-G35</f>
        <v>3683725303987518</v>
      </c>
      <c r="H41" s="7">
        <v>1.192615834728908E+16</v>
      </c>
    </row>
    <row r="42" spans="1:8" x14ac:dyDescent="0.35">
      <c r="C42" s="7">
        <f>C12-E12</f>
        <v>2456487.6092429357</v>
      </c>
      <c r="D42" s="7">
        <f>E12-D12</f>
        <v>2456487.6092429352</v>
      </c>
      <c r="E42">
        <v>5282794.9792068601</v>
      </c>
      <c r="F42" s="7">
        <f>F12-H12</f>
        <v>1841111838597846</v>
      </c>
      <c r="G42" s="7">
        <f>H12-G12</f>
        <v>1841111838597846.5</v>
      </c>
      <c r="H42">
        <v>5956215369265321</v>
      </c>
    </row>
    <row r="43" spans="1:8" x14ac:dyDescent="0.35">
      <c r="C43">
        <f>MAX(C2:C39)</f>
        <v>19385285.318449832</v>
      </c>
      <c r="D43">
        <f t="shared" ref="D43:H43" si="0">MAX(D2:D39)</f>
        <v>7083392.5315639395</v>
      </c>
      <c r="E43">
        <f t="shared" si="0"/>
        <v>13234338.925006885</v>
      </c>
      <c r="F43">
        <f t="shared" si="0"/>
        <v>1.9530674958338208E+16</v>
      </c>
      <c r="G43">
        <f t="shared" si="0"/>
        <v>1.0313419525957094E+16</v>
      </c>
      <c r="H43">
        <f t="shared" si="0"/>
        <v>1.4922047242147652E+16</v>
      </c>
    </row>
  </sheetData>
  <pageMargins left="0.7" right="0.7" top="0.75" bottom="0.75" header="0.3" footer="0.3"/>
  <pageSetup paperSize="9" orientation="portrait" horizontalDpi="4294967295" verticalDpi="4294967295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Lembar kerja</vt:lpstr>
      </vt:variant>
      <vt:variant>
        <vt:i4>5</vt:i4>
      </vt:variant>
    </vt:vector>
  </HeadingPairs>
  <TitlesOfParts>
    <vt:vector size="5" baseType="lpstr">
      <vt:lpstr>Selected Merapi</vt:lpstr>
      <vt:lpstr>Pixel</vt:lpstr>
      <vt:lpstr>calculation</vt:lpstr>
      <vt:lpstr>2001</vt:lpstr>
      <vt:lpstr>2001b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Akhmad Solikhin</dc:creator>
  <cp:lastModifiedBy>aditya permana</cp:lastModifiedBy>
  <dcterms:created xsi:type="dcterms:W3CDTF">2014-12-08T10:12:55Z</dcterms:created>
  <dcterms:modified xsi:type="dcterms:W3CDTF">2026-09-07T07:51:36Z</dcterms:modified>
</cp:coreProperties>
</file>